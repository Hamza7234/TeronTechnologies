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amza\Desktop\TeronTechnologies\"/>
    </mc:Choice>
  </mc:AlternateContent>
  <xr:revisionPtr revIDLastSave="0" documentId="13_ncr:1_{8C246472-C9B3-4384-8765-65EA936DF073}" xr6:coauthVersionLast="47" xr6:coauthVersionMax="47" xr10:uidLastSave="{00000000-0000-0000-0000-000000000000}"/>
  <bookViews>
    <workbookView xWindow="-57720" yWindow="4815" windowWidth="29040" windowHeight="15720" activeTab="2" xr2:uid="{00000000-000D-0000-FFFF-FFFF00000000}"/>
  </bookViews>
  <sheets>
    <sheet name="Quotation" sheetId="1" r:id="rId1"/>
    <sheet name="Customers" sheetId="2" r:id="rId2"/>
    <sheet name="Products" sheetId="3" r:id="rId3"/>
    <sheet name="Record Of Invoices" sheetId="4" r:id="rId4"/>
  </sheets>
  <definedNames>
    <definedName name="_xleta.IF" hidden="1" xlm="1">#NAME?</definedName>
    <definedName name="CustomersDropDown">CustomerList[CustomerName]</definedName>
    <definedName name="_xlnm.Print_Area" localSheetId="0">Quotation!$A$1:$H$47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F10" i="3"/>
  <c r="G10" i="3"/>
  <c r="H10" i="3"/>
  <c r="E30" i="3"/>
  <c r="E31" i="3"/>
  <c r="E32" i="3"/>
  <c r="F30" i="3"/>
  <c r="F31" i="3"/>
  <c r="F32" i="3"/>
  <c r="G30" i="3"/>
  <c r="G31" i="3"/>
  <c r="G32" i="3"/>
  <c r="H30" i="3"/>
  <c r="H31" i="3"/>
  <c r="H32" i="3"/>
  <c r="E33" i="3"/>
  <c r="E34" i="3"/>
  <c r="E35" i="3"/>
  <c r="F33" i="3"/>
  <c r="F34" i="3"/>
  <c r="F35" i="3"/>
  <c r="G33" i="3"/>
  <c r="G34" i="3"/>
  <c r="G35" i="3"/>
  <c r="H33" i="3"/>
  <c r="H34" i="3"/>
  <c r="H35" i="3"/>
  <c r="E24" i="3"/>
  <c r="E25" i="3"/>
  <c r="F24" i="3"/>
  <c r="F25" i="3"/>
  <c r="G24" i="3"/>
  <c r="G25" i="3"/>
  <c r="H24" i="3"/>
  <c r="H25" i="3"/>
  <c r="E26" i="3"/>
  <c r="E27" i="3"/>
  <c r="F26" i="3"/>
  <c r="F27" i="3"/>
  <c r="G26" i="3"/>
  <c r="G27" i="3"/>
  <c r="H26" i="3"/>
  <c r="H27" i="3"/>
  <c r="E28" i="3"/>
  <c r="E29" i="3"/>
  <c r="F28" i="3"/>
  <c r="F29" i="3"/>
  <c r="G28" i="3"/>
  <c r="G29" i="3"/>
  <c r="H28" i="3"/>
  <c r="H29" i="3"/>
  <c r="E36" i="3"/>
  <c r="F36" i="3"/>
  <c r="G36" i="3"/>
  <c r="H36" i="3"/>
  <c r="E21" i="3"/>
  <c r="E22" i="3"/>
  <c r="F21" i="3"/>
  <c r="F22" i="3"/>
  <c r="G21" i="3"/>
  <c r="G22" i="3"/>
  <c r="H21" i="3"/>
  <c r="H22" i="3"/>
  <c r="E23" i="3"/>
  <c r="F23" i="3"/>
  <c r="G23" i="3"/>
  <c r="H23" i="3"/>
  <c r="E37" i="3"/>
  <c r="F37" i="3"/>
  <c r="G37" i="3"/>
  <c r="H37" i="3"/>
  <c r="E11" i="3"/>
  <c r="F11" i="3"/>
  <c r="G11" i="3"/>
  <c r="H11" i="3"/>
  <c r="E16" i="3"/>
  <c r="F16" i="3"/>
  <c r="G16" i="3"/>
  <c r="H16" i="3"/>
  <c r="E17" i="3"/>
  <c r="F17" i="3"/>
  <c r="G17" i="3"/>
  <c r="H17" i="3"/>
  <c r="E18" i="3"/>
  <c r="F18" i="3"/>
  <c r="G18" i="3"/>
  <c r="H18" i="3"/>
  <c r="E15" i="3"/>
  <c r="F15" i="3"/>
  <c r="G15" i="3"/>
  <c r="H15" i="3"/>
  <c r="E19" i="3"/>
  <c r="F19" i="3"/>
  <c r="G19" i="3"/>
  <c r="H19" i="3"/>
  <c r="E12" i="3"/>
  <c r="F12" i="3"/>
  <c r="G12" i="3"/>
  <c r="H12" i="3"/>
  <c r="E13" i="3"/>
  <c r="F13" i="3"/>
  <c r="G13" i="3"/>
  <c r="H13" i="3"/>
  <c r="E14" i="3"/>
  <c r="F14" i="3"/>
  <c r="G14" i="3"/>
  <c r="H14" i="3"/>
  <c r="E20" i="3"/>
  <c r="F20" i="3"/>
  <c r="G20" i="3"/>
  <c r="H20" i="3"/>
  <c r="E38" i="3"/>
  <c r="F38" i="3"/>
  <c r="G38" i="3"/>
  <c r="H38" i="3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22" i="1"/>
  <c r="B45" i="1"/>
  <c r="E25" i="1" l="1" a="1"/>
  <c r="E25" i="1" s="1"/>
  <c r="G25" i="1" s="1"/>
  <c r="F25" i="1" s="1"/>
  <c r="E26" i="1" a="1"/>
  <c r="E26" i="1" s="1"/>
  <c r="G26" i="1" s="1"/>
  <c r="F26" i="1" s="1"/>
  <c r="E27" i="1" a="1"/>
  <c r="E27" i="1" s="1"/>
  <c r="G27" i="1" s="1"/>
  <c r="F27" i="1" s="1"/>
  <c r="E28" i="1" a="1"/>
  <c r="E28" i="1" s="1"/>
  <c r="G28" i="1" s="1"/>
  <c r="F28" i="1" s="1"/>
  <c r="E29" i="1" a="1"/>
  <c r="E29" i="1" s="1"/>
  <c r="G29" i="1" s="1"/>
  <c r="F29" i="1" s="1"/>
  <c r="E30" i="1" a="1"/>
  <c r="E30" i="1" s="1"/>
  <c r="G30" i="1" s="1"/>
  <c r="F30" i="1" s="1"/>
  <c r="E31" i="1" a="1"/>
  <c r="E31" i="1" s="1"/>
  <c r="G31" i="1" s="1"/>
  <c r="F31" i="1" s="1"/>
  <c r="E32" i="1" a="1"/>
  <c r="E32" i="1" s="1"/>
  <c r="G32" i="1" s="1"/>
  <c r="F32" i="1" s="1"/>
  <c r="E33" i="1" a="1"/>
  <c r="E33" i="1" s="1"/>
  <c r="G33" i="1" s="1"/>
  <c r="F33" i="1" s="1"/>
  <c r="E34" i="1" a="1"/>
  <c r="E34" i="1" s="1"/>
  <c r="G34" i="1" s="1"/>
  <c r="F34" i="1" s="1"/>
  <c r="E35" i="1" a="1"/>
  <c r="E35" i="1" s="1"/>
  <c r="G35" i="1" s="1"/>
  <c r="F35" i="1" s="1"/>
  <c r="C18" i="1" l="1"/>
  <c r="C17" i="1"/>
  <c r="C16" i="1"/>
  <c r="C14" i="1"/>
  <c r="H8" i="3"/>
  <c r="H9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6" i="3"/>
  <c r="H7" i="3"/>
  <c r="H5" i="3"/>
  <c r="G6" i="3"/>
  <c r="G7" i="3"/>
  <c r="G8" i="3"/>
  <c r="G9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" i="3"/>
  <c r="E6" i="3"/>
  <c r="E7" i="3"/>
  <c r="E8" i="3"/>
  <c r="E9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F6" i="3"/>
  <c r="F7" i="3"/>
  <c r="F8" i="3"/>
  <c r="F9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" i="3"/>
  <c r="F56" i="3"/>
  <c r="E5" i="3"/>
  <c r="H3" i="2" a="1"/>
  <c r="H3" i="2" s="1"/>
  <c r="H4" i="2" a="1"/>
  <c r="H4" i="2" s="1"/>
  <c r="C19" i="1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G16" i="1"/>
  <c r="E24" i="1" l="1" a="1"/>
  <c r="E24" i="1" s="1"/>
  <c r="G24" i="1" s="1"/>
  <c r="F24" i="1" s="1"/>
  <c r="E23" i="1" a="1"/>
  <c r="E23" i="1" s="1"/>
  <c r="G23" i="1" s="1"/>
  <c r="F23" i="1" s="1"/>
  <c r="E22" i="1" a="1"/>
  <c r="E22" i="1" s="1"/>
  <c r="G22" i="1" s="1"/>
  <c r="F22" i="1" s="1"/>
  <c r="G37" i="1" l="1"/>
  <c r="G36" i="1"/>
  <c r="G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<sst xmlns="http://schemas.openxmlformats.org/spreadsheetml/2006/main" count="313" uniqueCount="239">
  <si>
    <t>QTY</t>
  </si>
  <si>
    <t>Teron Technologies</t>
  </si>
  <si>
    <t>info@terontechnologies.com</t>
  </si>
  <si>
    <t xml:space="preserve"> </t>
  </si>
  <si>
    <t>(+31) 627305821</t>
  </si>
  <si>
    <t xml:space="preserve">Wielewaalstraat 4, 6135EN </t>
  </si>
  <si>
    <t>Emin Market</t>
  </si>
  <si>
    <t>(+32) XXX-XXX-XXX</t>
  </si>
  <si>
    <t>info@eminmarket.be</t>
  </si>
  <si>
    <t>Customer</t>
  </si>
  <si>
    <t>www.terontechnologies.com</t>
  </si>
  <si>
    <t>Phone</t>
  </si>
  <si>
    <t>Company/Name</t>
  </si>
  <si>
    <t>Address</t>
  </si>
  <si>
    <t>VAT</t>
  </si>
  <si>
    <t>Sittard-Geleen, Netherlands</t>
  </si>
  <si>
    <t>Email</t>
  </si>
  <si>
    <t>Shell Beringen</t>
  </si>
  <si>
    <t>Koolmijnlaan 410, 3581 Beringen</t>
  </si>
  <si>
    <t>Dennenstraat 10,  3581  Beringen  Belgium</t>
  </si>
  <si>
    <t>info@qadir.be</t>
  </si>
  <si>
    <t>(+32) 489 16 96 25</t>
  </si>
  <si>
    <r>
      <t>Customer</t>
    </r>
    <r>
      <rPr>
        <sz val="11"/>
        <color theme="1"/>
        <rFont val="Calibri"/>
        <family val="2"/>
        <scheme val="minor"/>
      </rPr>
      <t>Name</t>
    </r>
  </si>
  <si>
    <t xml:space="preserve">TOTAL </t>
  </si>
  <si>
    <r>
      <t xml:space="preserve">IBAN    :  </t>
    </r>
    <r>
      <rPr>
        <b/>
        <sz val="12"/>
        <color theme="1"/>
        <rFont val="Aptos"/>
        <family val="2"/>
      </rPr>
      <t>NL53 INGB 0709 4564 84</t>
    </r>
  </si>
  <si>
    <r>
      <t xml:space="preserve">VAT       :  </t>
    </r>
    <r>
      <rPr>
        <b/>
        <sz val="12"/>
        <color theme="1"/>
        <rFont val="Aptos"/>
        <family val="2"/>
      </rPr>
      <t>NL005303268B93</t>
    </r>
  </si>
  <si>
    <t>CustomerId</t>
  </si>
  <si>
    <t>CustomerName2</t>
  </si>
  <si>
    <t>Customer Id</t>
  </si>
  <si>
    <t>Country</t>
  </si>
  <si>
    <t>Belgium</t>
  </si>
  <si>
    <t>Product Code</t>
  </si>
  <si>
    <t>Description</t>
  </si>
  <si>
    <t>Unit Price</t>
  </si>
  <si>
    <t>ProductSKU</t>
  </si>
  <si>
    <t>Product Name</t>
  </si>
  <si>
    <t>Supplier</t>
  </si>
  <si>
    <t>Subtotal</t>
  </si>
  <si>
    <t>Supplier Price (1K)</t>
  </si>
  <si>
    <t>Supplier Price (5k)</t>
  </si>
  <si>
    <t>Supplier Price (10K)</t>
  </si>
  <si>
    <t xml:space="preserve">Profit Percentage (%)  </t>
  </si>
  <si>
    <t>Product Price 10K</t>
  </si>
  <si>
    <t>Product Price 5K</t>
  </si>
  <si>
    <t>Product Price 1K</t>
  </si>
  <si>
    <t>Product Cost 1K</t>
  </si>
  <si>
    <t>Product Cost 5K</t>
  </si>
  <si>
    <t>Product Cost 10K</t>
  </si>
  <si>
    <t>Supplier Contact Name</t>
  </si>
  <si>
    <t>Supplier Contact Phone</t>
  </si>
  <si>
    <t>2.13" ESL Black/White</t>
  </si>
  <si>
    <t>2.13" ESL Black/White/Red</t>
  </si>
  <si>
    <t>2.13" ESL Black/White/Red/Yellow</t>
  </si>
  <si>
    <t>Guangdong SID Technology</t>
  </si>
  <si>
    <t>Zoey</t>
  </si>
  <si>
    <t>(+61)432660111</t>
  </si>
  <si>
    <t>TT-ESL-213BWR</t>
  </si>
  <si>
    <t>TT-ESL-213BWRY</t>
  </si>
  <si>
    <t>Product Cost 100K</t>
  </si>
  <si>
    <t>Product Price 100K</t>
  </si>
  <si>
    <t>Total (exc VAT)</t>
  </si>
  <si>
    <r>
      <t xml:space="preserve">Terms &amp; Conditions
</t>
    </r>
    <r>
      <rPr>
        <sz val="12"/>
        <color theme="1"/>
        <rFont val="Aptos"/>
        <family val="2"/>
      </rPr>
      <t>1. Currency:  EUR
2. Payment  Terms: To be defined with customer
3. 12 months(1 year) quality warranty of base station and ESL tags excludes batteries
4. Estimated  Lead Time: In stock or within 45 workdays based on quantity
5. ESL installation is not covered in the price</t>
    </r>
    <r>
      <rPr>
        <b/>
        <sz val="12"/>
        <color theme="1"/>
        <rFont val="Aptos"/>
        <family val="2"/>
      </rPr>
      <t xml:space="preserve">
</t>
    </r>
  </si>
  <si>
    <t>Customer Notes:</t>
  </si>
  <si>
    <t>VAT(%):</t>
  </si>
  <si>
    <t>Invoice No</t>
  </si>
  <si>
    <t>Company</t>
  </si>
  <si>
    <t>Date Issues</t>
  </si>
  <si>
    <t>Date Due</t>
  </si>
  <si>
    <t>Paid</t>
  </si>
  <si>
    <t>Invoice saved as pdf</t>
  </si>
  <si>
    <t>Invoice saved as Excel file</t>
  </si>
  <si>
    <t>Invoice Emailed</t>
  </si>
  <si>
    <t>Total Amount</t>
  </si>
  <si>
    <r>
      <t xml:space="preserve">Valid for (days)    </t>
    </r>
    <r>
      <rPr>
        <b/>
        <sz val="12"/>
        <color theme="1"/>
        <rFont val="Aptos"/>
        <family val="2"/>
      </rPr>
      <t xml:space="preserve"> :</t>
    </r>
  </si>
  <si>
    <r>
      <t>Invoice No</t>
    </r>
    <r>
      <rPr>
        <b/>
        <sz val="12"/>
        <color theme="1"/>
        <rFont val="Aptos"/>
        <family val="2"/>
      </rPr>
      <t xml:space="preserve">             :</t>
    </r>
  </si>
  <si>
    <r>
      <t>Date</t>
    </r>
    <r>
      <rPr>
        <b/>
        <sz val="12"/>
        <color theme="1"/>
        <rFont val="Aptos"/>
        <family val="2"/>
      </rPr>
      <t xml:space="preserve">                         :</t>
    </r>
  </si>
  <si>
    <t>Settings:</t>
  </si>
  <si>
    <t>InvoicePdfPath:</t>
  </si>
  <si>
    <t>InvoiceExcelPath:</t>
  </si>
  <si>
    <t>C://Users/hamza/Desktop/TeronTechnologies/Invoices/InvoicesPdf/</t>
  </si>
  <si>
    <t>C://Users/hamza/Desktop/TeronTechnologies/Invoices/InvoicesExcel/</t>
  </si>
  <si>
    <t>Specifications</t>
  </si>
  <si>
    <t>TT-ESL-154-BW00</t>
  </si>
  <si>
    <t>TT-ESL-154-BWR0</t>
  </si>
  <si>
    <t>TT-ESL-154-BWRY</t>
  </si>
  <si>
    <t>TT-ESL-213-BW00</t>
  </si>
  <si>
    <t>TT-ESL-213-BWR0</t>
  </si>
  <si>
    <t>TT-ESL-213-BWRY</t>
  </si>
  <si>
    <t>TT-ESL-290-BW00</t>
  </si>
  <si>
    <t>TT-ESL-290-BWR0</t>
  </si>
  <si>
    <t>TT-ESL-290-BWRY</t>
  </si>
  <si>
    <t>TT-ESL-420-BW00</t>
  </si>
  <si>
    <t>TT-ESL-420-BWR0</t>
  </si>
  <si>
    <t>TT-ESL-750-BW00</t>
  </si>
  <si>
    <t>1.54" ESL, Black &amp; White electronic price tag</t>
  </si>
  <si>
    <t>1.54" ESL, Black, White &amp; Red electronic price tag</t>
  </si>
  <si>
    <t>1.54" ESL, Black, White, Red &amp; Yellow electronic price tag</t>
  </si>
  <si>
    <t>2.13" ESL, Black &amp; White electronic price tag</t>
  </si>
  <si>
    <t>2.13" ESL, Black, White &amp; Red electronic price tag</t>
  </si>
  <si>
    <t>2.13" ESL, Black, White, Red &amp; Yellow electronic price tag</t>
  </si>
  <si>
    <t>1.54" ESL Black/White</t>
  </si>
  <si>
    <t>1.54" ESL Black/White/Red</t>
  </si>
  <si>
    <t>1.54" ESL Black/White/Red/Yellow</t>
  </si>
  <si>
    <t>2.90" ESL Black/White</t>
  </si>
  <si>
    <t>TT-ESL-266-BW00</t>
  </si>
  <si>
    <t>TT-ESL-266-BWR0</t>
  </si>
  <si>
    <t>TT-ESL-266-BWRY</t>
  </si>
  <si>
    <t>2.66" ESL Black/White</t>
  </si>
  <si>
    <t>2.66" ESL Black/White/Red</t>
  </si>
  <si>
    <t>2.66" ESL Black/White/Red/Yellow</t>
  </si>
  <si>
    <t>2.66" ESL, Black, White, Red &amp; Yellow electronic price tag</t>
  </si>
  <si>
    <t>2.66" ESL, Black &amp; White electronic price tag</t>
  </si>
  <si>
    <t>2.66" ESL, Black, White &amp; Red electronic price tag</t>
  </si>
  <si>
    <t>2.90" ESL, Black &amp; White electronic price tag</t>
  </si>
  <si>
    <t>2.90" ESL Black/White/Red</t>
  </si>
  <si>
    <t>2.90" ESL, Black, White &amp; Red electronic price tag</t>
  </si>
  <si>
    <t>2.90" ESL Black/White/Red/Yellow</t>
  </si>
  <si>
    <t>2.90" ESL, Black, White, Red &amp; Yellow electronic price tag</t>
  </si>
  <si>
    <t>TT-ESL-213-BWFR</t>
  </si>
  <si>
    <t>2.13" ESL Black/White Freezer</t>
  </si>
  <si>
    <t>2.13" ESL, Black, White Freezer electronic price tag</t>
  </si>
  <si>
    <t>TT-ESL-350-BW00</t>
  </si>
  <si>
    <t>TT-ESL-350-BWR0</t>
  </si>
  <si>
    <t>TT-ESL-350-BWFR</t>
  </si>
  <si>
    <t>3.50" ESL Black/White</t>
  </si>
  <si>
    <t>3.50" ESL, Black &amp; White electronic price tag</t>
  </si>
  <si>
    <t>3.50" ESL Black/White/Red</t>
  </si>
  <si>
    <t>3.50" ESL, Black, White &amp; Red electronic price tag</t>
  </si>
  <si>
    <t>3.70" ESL Black/White</t>
  </si>
  <si>
    <t>3.70" ESL, Black &amp; White electronic price tag</t>
  </si>
  <si>
    <t>3.70" ESL Black/White/Red</t>
  </si>
  <si>
    <t>3.70" ESL, Black, White &amp; Red electronic price tag</t>
  </si>
  <si>
    <t>TT-ESL-370-BW00</t>
  </si>
  <si>
    <t>TT-ESL-370-BWR0</t>
  </si>
  <si>
    <t>TT-ESL-370-BWFR</t>
  </si>
  <si>
    <t>TT-ESL-420-BWFR</t>
  </si>
  <si>
    <t>4.20" ESL Black/White</t>
  </si>
  <si>
    <t>4.20" ESL, Black &amp; White electronic price tag</t>
  </si>
  <si>
    <t>4.20" ESL Black/White/Red</t>
  </si>
  <si>
    <t>4.20" ESL, Black, White &amp; Red electronic price tag</t>
  </si>
  <si>
    <t>5.83" ESL Black/White</t>
  </si>
  <si>
    <t>5.83" ESL, Black &amp; White electronic price tag</t>
  </si>
  <si>
    <t>5.83" ESL Black/White/Red</t>
  </si>
  <si>
    <t>5.83" ESL, Black, White &amp; Red electronic price tag</t>
  </si>
  <si>
    <t>TT-ESL-583-BW00</t>
  </si>
  <si>
    <t>TT-ESL-583-BWR0</t>
  </si>
  <si>
    <t>TT-ESL-583-BWFR</t>
  </si>
  <si>
    <t>TT-ESL-750-BWR0</t>
  </si>
  <si>
    <t>TT-ESL-750-BWFR</t>
  </si>
  <si>
    <t>7.50" ESL Black/White</t>
  </si>
  <si>
    <t>7.50" ESL, Black &amp; White electronic price tag</t>
  </si>
  <si>
    <t>7.50" ESL Black/White/Red</t>
  </si>
  <si>
    <t>7.50" ESL, Black, White &amp; Red electronic price tag</t>
  </si>
  <si>
    <t>10.2" ESL Black/White</t>
  </si>
  <si>
    <t>10.2" ESL, Black &amp; White electronic price tag</t>
  </si>
  <si>
    <t>10.2" ESL Black/White/Red</t>
  </si>
  <si>
    <t>10.2" ESL, Black, White &amp; Red electronic price tag</t>
  </si>
  <si>
    <t>TT-ESL-102-BW00</t>
  </si>
  <si>
    <t>TT-ESL-102-BWR0</t>
  </si>
  <si>
    <t>TT-ESL-102-BWFR</t>
  </si>
  <si>
    <t>Gateway</t>
  </si>
  <si>
    <t>ESL Base Controller,  2.4GHz, POE/DC</t>
  </si>
  <si>
    <t>TT-GTW-SBG-POE0</t>
  </si>
  <si>
    <t>Size: 190*190*40mm   
Tech: 2.4GHz    
Transfer distance：30 meters（In barrier-free situations）  
Power supply：POE/DC  
Transmitter: Built-in
Installation: ceiling/flat/wall hanging
Support background system settings, support automatic connection to a good signal base station.
Connection mode: cable /wifi</t>
  </si>
  <si>
    <t>Size: 10.2 inch
Technology: 2.4G wireless
Colors: Black/White/Red
Module Size:236.78×175.38×15.6mm
Weight:450g
Resolution:960x640
Battery:3000mAh（Rechargeable lithium battery）</t>
  </si>
  <si>
    <t>Size: 10.2 inch
Technology: 2.4G wireless
Colors: Black/White/Red/Yellow
Module Size:236.78×175.38×15.6mm
Weight:450g
Resolution:960x640
Battery:3000mAh（Rechargeable lithium battery）</t>
  </si>
  <si>
    <t>Size: 10.2 inch
Technology: 2.4G wireless
Colors: Black/White
Module Size:236.78×175.38×15.6mm
Weight:450g
Resolution:960x640
Battery:3000mAh（Rechargeable lithium battery）</t>
  </si>
  <si>
    <t>Size: 7.5inch
Technology: 2.4G wireless
Colors: Black/White/Red
Module Size:177.6*123.2*10.7mm
Weight:168.9g
Resolution:800×480
Battery:CR2450×3</t>
  </si>
  <si>
    <t>Size: 7.5inch
Technology: 2.4G wireless
Colors: Black/White/Red/Yellow
Module Size:177.6*123.2*10.7mm
Weight:217g
Resolution:800×480
Battery:CR2450×3</t>
  </si>
  <si>
    <t>Size: 7.5inch
Technology: 2.4G wireless
Colors: Black/White
Module Size:177.6*123.2*10.7mm
Weight:217g
Resolution:800×480
Battery:CR2450×3</t>
  </si>
  <si>
    <t>Size: 5.83inch
Technology: 2.4G wireless
Colors: Black/White/Red/Yellow
Module Size: 132.8*111.5*10.7mm
Weight: 122.1g
Resolution: 648×480
Battery: CR2450×3</t>
  </si>
  <si>
    <t>Size: 5.83inch
Technology: 2.4G wireless
Colors: Black/White/Red
Module Size: 132.8*111.5*10.7mm
Weight: 122.1g
Resolution: 648×480
Battery: CR2450×3</t>
  </si>
  <si>
    <t>Size: 5.83inch
Technology: 2.4G wireless
Colors: Black/White
Module Size: 132.8*111.5*10.7mm
Weight: 122.1g
Resolution: 648×480
Battery: CR2450×3</t>
  </si>
  <si>
    <t>Size: 4.2inch
Technology: 2.4G wireless
Colors: Black/White/Red/Yellow
Module Size: 98.4*89*10.7mm
Weight: 83g
Resolution: 400×300
Battery: CR2450×3</t>
  </si>
  <si>
    <t>Size: 4.2inch
Technology: 2.4G wireless
Colors: Black/White/Red
Module Size: 98.4*89*10.7mm
Weight: 83g
Resolution: 400×300
Battery: CR2450×3</t>
  </si>
  <si>
    <t>Size: 4.2inch
Technology: 2.4G wireless
Colors: Black/White
Module Size: 98.4*89*10.7mm
Weight: 83g
Resolution: 400×300
Battery: CR2450×3</t>
  </si>
  <si>
    <t>Size: 3.7inch
Technology: 2.4G wireless
Colors: Black/White/Red/Yellow
Module Size:104.1*58.11*9.1mm
Weight:45.7g
Resolution:240*416
Battery:CR2450×2</t>
  </si>
  <si>
    <t>Size: 3.7inch
Technology: 2.4G wireless
Colors: Black/White/Red
Module Size:104.1*58.11*9.1mm
Weight:45.7g
Resolution:240*416
Battery:CR2450×2</t>
  </si>
  <si>
    <t>Size: 3.7inch
Technology: 2.4G wireless
Colors: Black/White
Module Size:104.1*58.11*9.1mm
Weight:45.7g
Resolution:240*416
Battery:CR2450×2</t>
  </si>
  <si>
    <t>Size: 1.54inch
Technology: 2.4G wireless
colors: Black/White
Module Size:37.11*48.43*9.1mm
Weight:18.9g
Resolution:200×200
Battery:CR2450*1</t>
  </si>
  <si>
    <t>Size: 1.54inch
Technology: 2.4G wireless
colors: Black/White/Red
Module Size:37.11*48.43*9.1mm
Weight:18.9g
Resolution:200×200
Battery:CR2450*1</t>
  </si>
  <si>
    <t>Size: 1.54inch
Technology: 2.4G wireless
colors: Black/White/Red/Yellow
Module Size:37.11*48.43*9.1mm
Weight:18.9g
Resolution:200×200
Battery:CR2450*1</t>
  </si>
  <si>
    <t>(+61)432660112</t>
  </si>
  <si>
    <t>(+61)432660113</t>
  </si>
  <si>
    <t>(+61)432660114</t>
  </si>
  <si>
    <t>(+61)432660115</t>
  </si>
  <si>
    <t>(+61)432660116</t>
  </si>
  <si>
    <t>(+61)432660118</t>
  </si>
  <si>
    <t>(+61)432660119</t>
  </si>
  <si>
    <t>(+61)432660120</t>
  </si>
  <si>
    <t>(+61)432660121</t>
  </si>
  <si>
    <t>(+61)432660122</t>
  </si>
  <si>
    <t>(+61)432660123</t>
  </si>
  <si>
    <t>(+61)432660124</t>
  </si>
  <si>
    <t>(+61)432660125</t>
  </si>
  <si>
    <t>(+61)432660126</t>
  </si>
  <si>
    <t>(+61)432660127</t>
  </si>
  <si>
    <t>(+61)432660128</t>
  </si>
  <si>
    <t>(+61)432660129</t>
  </si>
  <si>
    <t>(+61)432660130</t>
  </si>
  <si>
    <t>(+61)432660131</t>
  </si>
  <si>
    <t>(+61)432660132</t>
  </si>
  <si>
    <t>(+61)432660133</t>
  </si>
  <si>
    <t>(+61)432660134</t>
  </si>
  <si>
    <t>(+61)432660135</t>
  </si>
  <si>
    <t>(+61)432660136</t>
  </si>
  <si>
    <t>(+61)432660137</t>
  </si>
  <si>
    <t>(+61)432660138</t>
  </si>
  <si>
    <t>(+61)432660139</t>
  </si>
  <si>
    <t>(+61)432660140</t>
  </si>
  <si>
    <t>(+61)432660141</t>
  </si>
  <si>
    <t>(+61)432660142</t>
  </si>
  <si>
    <t>Size: 2.13inch
Technology: 2.4G wireless
Colors: Black/White/Red
Module Size: 72.31*34.31*9.1mm
Weight: 29.3g
Resolution: 250×128
Battery: CR2450×2</t>
  </si>
  <si>
    <t>Size: 2.13inch
Technology: 2.4G wireless
Colors: Black/White
Module Size: 72.31*34.31*9.1mm
Weight: 29.3g
Resolution: 250×128
Battery: CR2450×2</t>
  </si>
  <si>
    <t>Size: 2.13inch
Technology: 2.4G wireless
Colors: Black/White/Red/Yellow
Module Size: 72.31*34.31*9.1mm
Weight: 29.3g
Resolution: 250×128
Battery: CR2450×2</t>
  </si>
  <si>
    <t xml:space="preserve">2.13inch 
Technology:2.4G wireless
Colors: Black/White
Size: 72.31*34.31*9.1mm
Weight: 32.7g
Resolution: 250*128
Battery: CR2450×2 </t>
  </si>
  <si>
    <t>Size: 2.66inch
Technology: 2.4G wireless
Colors: Black/White
Module Size: 82.93*41.41*9.1mm
Weight:35g
Resolution:296×152
Battery:CR2450×2</t>
  </si>
  <si>
    <t>Size: 2.66inch
Technology: 2.4G wireless
Colors: Black/White/Red
Module Size: 82.93*41.41*9.1mm
Weight:35g
Resolution:296×152
Battery:CR2450×2</t>
  </si>
  <si>
    <t>Size: 2.66inch
Technology: 2.4G wireless
Colors: Black/White/Red/Yellow
Module Size: 82.93*41.41*9.1mm
Weight:35g
Resolution:296×152
Battery:CR2450×2</t>
  </si>
  <si>
    <t>Size: 2.9inch
Technology: 2.4G wireless
Colors: Black/White/Red
Module Size:90.11*41.81*9.1mm
Weight:36.6g
Resolution:296×128
Battery:CR2450×2</t>
  </si>
  <si>
    <t>Size: 2.9inch
Technology: 2.4G wireless
Colors: Black/White
Module Size:90.11*41.81*9.1mm
Weight:36.6g
Resolution:296×128
Battery:CR2450×2</t>
  </si>
  <si>
    <t>Size: 2.9inch
Technology: 2.4G wireless
Colors: Black/White/Red/Yellow
Module Size:90.11*41.81*9.1mm
Weight:36.6g
Resolution:296×128
Battery:CR2450×2</t>
  </si>
  <si>
    <t>Size: 3.5inch
Technology: 2.4G wireless
Colors: Black/White/Red
Module Size:102.86*50.14*9.1mm
Weight:43g
Resolution:184*384
Battery:CR2450×2</t>
  </si>
  <si>
    <t>Size: 3.5inch
Technology: 2.4G wireless
Colors: Black/White
Module Size:102.86*50.14*9.1mm
Weight:43g
Resolution:184*384
Battery:CR2450×2</t>
  </si>
  <si>
    <t>Size: 3.5inch
Technology: 2.4G wireless
Colors: Black/White/Red/Yellow
Module Size:102.86*50.14*9.1mm
Weight:43g
Resolution:184*384
Battery:CR2450×2</t>
  </si>
  <si>
    <t>EUR/DOLLAR</t>
  </si>
  <si>
    <t>TT-ACC-</t>
  </si>
  <si>
    <t>3.50" ESL Black/White, Red &amp; Yellow</t>
  </si>
  <si>
    <t>3.50" ESL, Black, White, Red &amp; Yellow electronic price tag</t>
  </si>
  <si>
    <t>3.70" ESL Black/White, Red &amp; Yellow</t>
  </si>
  <si>
    <t>3.70" ESL, Black, White, Red &amp; Yellow electronic price tag</t>
  </si>
  <si>
    <t>4.20" ESL Black/White, Red &amp; Yellow</t>
  </si>
  <si>
    <t>4.20" ESL, Black, White, Red &amp; Yellow electronic price tag</t>
  </si>
  <si>
    <t>5.83" ESL Black/White, Red &amp; Yellow</t>
  </si>
  <si>
    <t>5.83" ESL, Black, White, Red &amp; Yellow electronic price tag</t>
  </si>
  <si>
    <t>7.50" ESL Black/White, Red &amp; Yellow</t>
  </si>
  <si>
    <t>7.50" ESL, Black, White, Red &amp; Yellow electronic price tag</t>
  </si>
  <si>
    <t>10.2" ESL Black/White, Red &amp; Yellow</t>
  </si>
  <si>
    <t>10.2" ESL, Black, White, Red &amp; Yellow electronic price 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</si>
</sst>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€&quot;\ #,##0.00;&quot;€&quot;\ \-#,##0.00"/>
    <numFmt numFmtId="44" formatCode="_ &quot;€&quot;\ * #,##0.00_ ;_ &quot;€&quot;\ * \-#,##0.00_ ;_ &quot;€&quot;\ * &quot;-&quot;??_ ;_ @_ "/>
    <numFmt numFmtId="164" formatCode="_ [$€-2]\ * #,##0.00_ ;_ [$€-2]\ * \-#,##0.00_ ;_ [$€-2]\ * &quot;-&quot;??_ ;_ @_ "/>
    <numFmt numFmtId="165" formatCode="_-[$$-409]* #,##0.00_ ;_-[$$-409]* \-#,##0.00\ ;_-[$$-409]* &quot;-&quot;??_ ;_-@_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Microsoft GothicNeo"/>
      <family val="2"/>
      <charset val="129"/>
    </font>
    <font>
      <b/>
      <sz val="14"/>
      <color theme="1"/>
      <name val="Microsoft GothicNeo"/>
      <family val="2"/>
      <charset val="129"/>
    </font>
    <font>
      <sz val="12"/>
      <color theme="1"/>
      <name val="Microsoft GothicNeo"/>
      <family val="2"/>
      <charset val="129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b/>
      <sz val="14"/>
      <color theme="1"/>
      <name val="Aptos"/>
      <family val="2"/>
    </font>
    <font>
      <b/>
      <sz val="12"/>
      <color theme="0"/>
      <name val="Aptos"/>
      <family val="2"/>
    </font>
    <font>
      <b/>
      <sz val="12"/>
      <color rgb="FFFF0000"/>
      <name val="Aptos"/>
      <family val="2"/>
    </font>
    <font>
      <sz val="8"/>
      <name val="Calibri"/>
      <family val="2"/>
      <scheme val="minor"/>
    </font>
    <font>
      <sz val="14"/>
      <color theme="1"/>
      <name val="Aptos"/>
      <family val="2"/>
    </font>
    <font>
      <b/>
      <sz val="11"/>
      <color theme="0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5" fillId="7" borderId="0" applyNumberFormat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5" fillId="0" borderId="0" xfId="2" applyAlignment="1">
      <alignment vertical="center" wrapText="1"/>
    </xf>
    <xf numFmtId="0" fontId="1" fillId="0" borderId="0" xfId="0" applyFont="1" applyAlignment="1">
      <alignment horizontal="right" vertic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44" fontId="0" fillId="0" borderId="0" xfId="1" applyFont="1"/>
    <xf numFmtId="44" fontId="7" fillId="3" borderId="5" xfId="1" applyFont="1" applyFill="1" applyBorder="1" applyAlignment="1">
      <alignment horizontal="right" vertical="center"/>
    </xf>
    <xf numFmtId="0" fontId="7" fillId="3" borderId="5" xfId="0" applyFont="1" applyFill="1" applyBorder="1" applyAlignment="1">
      <alignment horizontal="left" vertical="center"/>
    </xf>
    <xf numFmtId="0" fontId="6" fillId="0" borderId="2" xfId="0" applyFont="1" applyBorder="1" applyAlignment="1">
      <alignment vertical="center"/>
    </xf>
    <xf numFmtId="164" fontId="6" fillId="0" borderId="2" xfId="0" applyNumberFormat="1" applyFont="1" applyBorder="1" applyAlignment="1">
      <alignment vertical="center"/>
    </xf>
    <xf numFmtId="16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5" borderId="0" xfId="0" applyFont="1" applyFill="1"/>
    <xf numFmtId="0" fontId="12" fillId="0" borderId="0" xfId="0" applyFont="1" applyAlignment="1">
      <alignment vertical="center"/>
    </xf>
    <xf numFmtId="44" fontId="12" fillId="0" borderId="0" xfId="1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7" fontId="0" fillId="0" borderId="0" xfId="0" applyNumberFormat="1"/>
    <xf numFmtId="14" fontId="0" fillId="0" borderId="0" xfId="0" applyNumberFormat="1"/>
    <xf numFmtId="0" fontId="13" fillId="6" borderId="6" xfId="0" applyFont="1" applyFill="1" applyBorder="1"/>
    <xf numFmtId="0" fontId="13" fillId="6" borderId="7" xfId="0" applyFont="1" applyFill="1" applyBorder="1"/>
    <xf numFmtId="0" fontId="13" fillId="6" borderId="8" xfId="0" applyFont="1" applyFill="1" applyBorder="1"/>
    <xf numFmtId="44" fontId="8" fillId="4" borderId="5" xfId="1" applyFont="1" applyFill="1" applyBorder="1" applyAlignment="1">
      <alignment vertical="center"/>
    </xf>
    <xf numFmtId="44" fontId="7" fillId="3" borderId="3" xfId="1" applyFont="1" applyFill="1" applyBorder="1" applyAlignment="1">
      <alignment horizontal="right" vertical="center"/>
    </xf>
    <xf numFmtId="0" fontId="7" fillId="3" borderId="3" xfId="0" applyFont="1" applyFill="1" applyBorder="1" applyAlignment="1">
      <alignment vertical="center"/>
    </xf>
    <xf numFmtId="0" fontId="5" fillId="0" borderId="0" xfId="2"/>
    <xf numFmtId="0" fontId="0" fillId="0" borderId="0" xfId="0" applyAlignment="1">
      <alignment horizontal="center"/>
    </xf>
    <xf numFmtId="0" fontId="9" fillId="2" borderId="0" xfId="0" applyFont="1" applyFill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right" vertical="center"/>
    </xf>
    <xf numFmtId="164" fontId="6" fillId="0" borderId="3" xfId="0" applyNumberFormat="1" applyFont="1" applyBorder="1" applyAlignment="1">
      <alignment horizontal="right" vertical="center"/>
    </xf>
    <xf numFmtId="0" fontId="6" fillId="0" borderId="2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9" fillId="2" borderId="1" xfId="0" applyFont="1" applyFill="1" applyBorder="1" applyAlignment="1">
      <alignment horizontal="left" vertical="center"/>
    </xf>
    <xf numFmtId="0" fontId="15" fillId="7" borderId="0" xfId="3"/>
    <xf numFmtId="0" fontId="0" fillId="0" borderId="0" xfId="0" applyAlignment="1">
      <alignment vertical="center"/>
    </xf>
    <xf numFmtId="44" fontId="0" fillId="0" borderId="0" xfId="1" applyFont="1" applyAlignment="1">
      <alignment vertical="center"/>
    </xf>
    <xf numFmtId="44" fontId="0" fillId="0" borderId="0" xfId="1" applyFont="1" applyAlignment="1">
      <alignment horizontal="center"/>
    </xf>
    <xf numFmtId="44" fontId="0" fillId="0" borderId="0" xfId="1" applyFont="1" applyAlignment="1">
      <alignment horizontal="center" vertical="center"/>
    </xf>
    <xf numFmtId="44" fontId="0" fillId="0" borderId="0" xfId="1" applyFont="1" applyAlignment="1">
      <alignment horizontal="center" vertical="center" wrapText="1"/>
    </xf>
    <xf numFmtId="49" fontId="0" fillId="0" borderId="0" xfId="1" applyNumberFormat="1" applyFont="1" applyAlignment="1">
      <alignment horizontal="center" vertical="center" wrapText="1"/>
    </xf>
    <xf numFmtId="165" fontId="0" fillId="0" borderId="0" xfId="1" applyNumberFormat="1" applyFont="1" applyAlignment="1">
      <alignment vertical="center"/>
    </xf>
    <xf numFmtId="165" fontId="0" fillId="0" borderId="0" xfId="0" applyNumberFormat="1"/>
    <xf numFmtId="165" fontId="0" fillId="0" borderId="0" xfId="1" applyNumberFormat="1" applyFont="1"/>
    <xf numFmtId="0" fontId="6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15" fillId="7" borderId="0" xfId="3" applyAlignment="1">
      <alignment horizontal="center"/>
    </xf>
  </cellXfs>
  <cellStyles count="4">
    <cellStyle name="Currency" xfId="1" builtinId="4"/>
    <cellStyle name="Good" xfId="3" builtinId="26"/>
    <cellStyle name="Hyperlink" xfId="2" builtinId="8"/>
    <cellStyle name="Normal" xfId="0" builtinId="0"/>
  </cellStyles>
  <dxfs count="39">
    <dxf>
      <fill>
        <patternFill>
          <bgColor rgb="FFFF0000"/>
        </patternFill>
      </fill>
    </dxf>
    <dxf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"/>
        <family val="2"/>
        <scheme val="none"/>
      </font>
      <fill>
        <patternFill patternType="solid">
          <fgColor indexed="64"/>
          <bgColor rgb="FFCC66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607732</xdr:colOff>
      <xdr:row>13</xdr:row>
      <xdr:rowOff>85351</xdr:rowOff>
    </xdr:from>
    <xdr:to>
      <xdr:col>11</xdr:col>
      <xdr:colOff>389406</xdr:colOff>
      <xdr:row>15</xdr:row>
      <xdr:rowOff>226360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4129C29-969F-FA6F-74B7-A123E8485146}"/>
            </a:ext>
          </a:extLst>
        </xdr:cNvPr>
        <xdr:cNvGrpSpPr/>
      </xdr:nvGrpSpPr>
      <xdr:grpSpPr>
        <a:xfrm>
          <a:off x="10816291" y="2766732"/>
          <a:ext cx="1846731" cy="586069"/>
          <a:chOff x="12267833" y="1312209"/>
          <a:chExt cx="1840382" cy="58158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2267833" y="1312209"/>
                <a:ext cx="1840382" cy="5815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NL"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Record Invoice</a:t>
                </a:r>
              </a:p>
            </xdr:txBody>
          </xdr:sp>
        </mc:Choice>
        <mc:Fallback/>
      </mc:AlternateContent>
      <xdr:pic>
        <xdr:nvPicPr>
          <xdr:cNvPr id="3" name="Graphic 2" descr="Badge Follow with solid fill">
            <a:extLst>
              <a:ext uri="{FF2B5EF4-FFF2-40B4-BE49-F238E27FC236}">
                <a16:creationId xmlns:a16="http://schemas.microsoft.com/office/drawing/2014/main" id="{BD3FF5D9-5487-0213-4E65-9F9A338C80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626441" y="1419973"/>
            <a:ext cx="388989" cy="38734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9</xdr:row>
          <xdr:rowOff>95250</xdr:rowOff>
        </xdr:from>
        <xdr:to>
          <xdr:col>11</xdr:col>
          <xdr:colOff>412750</xdr:colOff>
          <xdr:row>11</xdr:row>
          <xdr:rowOff>222250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46800" rIns="90000" bIns="46800" anchor="ctr" upright="1"/>
            <a:lstStyle/>
            <a:p>
              <a:pPr algn="l" rtl="0">
                <a:defRPr sz="1000"/>
              </a:pPr>
              <a:r>
                <a:rPr lang="en-N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New Invoice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6</xdr:col>
      <xdr:colOff>1123497</xdr:colOff>
      <xdr:row>4</xdr:row>
      <xdr:rowOff>28499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89FF1B-002A-B0FF-2B84-576DB416A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72200" y="200025"/>
          <a:ext cx="3619047" cy="6126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894391-8BEF-435E-8A70-1874D0182A82}" name="Table4" displayName="Table4" ref="B21:G35" totalsRowShown="0" headerRowDxfId="37" dataDxfId="36">
  <autoFilter ref="B21:G35" xr:uid="{28894391-8BEF-435E-8A70-1874D0182A82}"/>
  <tableColumns count="6">
    <tableColumn id="1" xr3:uid="{8E2CAEFE-1495-4497-B22C-BCDF61E0FCE0}" name="Product Code" dataDxfId="35"/>
    <tableColumn id="2" xr3:uid="{E4EC89F0-B91E-4DF9-B60F-FF96DF3B0AB5}" name="Description" dataDxfId="34">
      <calculatedColumnFormula>IF(Table4[[#This Row],[Product Code]]&lt;&gt;"", VLOOKUP(B22, ProductList[], 2, 0), "")</calculatedColumnFormula>
    </tableColumn>
    <tableColumn id="3" xr3:uid="{4FCB9BA3-613B-441B-AD76-D10630CC4DA3}" name="QTY" dataDxfId="33"/>
    <tableColumn id="4" xr3:uid="{372D337F-B751-463F-B33D-1E59B0027213}" name="Unit Price" dataDxfId="32">
      <calculatedColumnFormula array="1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calculatedColumnFormula>
    </tableColumn>
    <tableColumn id="5" xr3:uid="{98716F56-84B7-4E81-AF9C-56A72CAF9A6E}" name="VAT" dataDxfId="31">
      <calculatedColumnFormula xml:space="preserve"> IF(G22&lt;&gt;"", Table4[[#This Row],[Total (exc VAT)]]*($L$36)/100, "")</calculatedColumnFormula>
    </tableColumn>
    <tableColumn id="6" xr3:uid="{181265EA-C274-4CB2-8FDF-36121DA84A4F}" name="Total (exc VAT)" dataDxfId="30">
      <calculatedColumnFormula>IF(Table4[[#This Row],[QTY]]&lt;&gt;"", Table4[[#This Row],[QTY]]*Table4[[#This Row],[Unit Price]],"")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3A63FA-6897-4306-A0FC-41C77568F275}" name="CustomerList" displayName="CustomerList" ref="B2:I15" totalsRowShown="0" headerRowDxfId="29" dataDxfId="28">
  <autoFilter ref="B2:I15" xr:uid="{753A63FA-6897-4306-A0FC-41C77568F275}"/>
  <tableColumns count="8">
    <tableColumn id="1" xr3:uid="{0330411F-EDA6-4AF3-A67B-43711AF5C0E4}" name="CustomerName" dataDxfId="27"/>
    <tableColumn id="7" xr3:uid="{3E840029-CDA3-492D-B67A-984AF71F521C}" name="CustomerName2" dataDxfId="26"/>
    <tableColumn id="2" xr3:uid="{C519457B-3493-47FB-9288-1C1D35C88DC2}" name="Address" dataDxfId="25"/>
    <tableColumn id="3" xr3:uid="{C686BDEC-9DD2-4001-B44E-8B50DAF23D69}" name="Phone" dataDxfId="24"/>
    <tableColumn id="4" xr3:uid="{261B03BF-6E42-42EA-8705-11280FA614EA}" name="Email" dataDxfId="23" dataCellStyle="Hyperlink"/>
    <tableColumn id="5" xr3:uid="{173D1656-69A5-4FB9-B0A6-4EBC515BAEC2}" name="VAT" dataDxfId="22"/>
    <tableColumn id="6" xr3:uid="{F12A8D8E-74C3-4E7D-93E4-CCCF11B78521}" name="CustomerId" dataDxfId="21">
      <calculatedColumnFormula array="1">IF(B3&lt;&gt;"", 505000 + ROW(1:1), "")</calculatedColumnFormula>
    </tableColumn>
    <tableColumn id="9" xr3:uid="{007740FD-25FD-4413-BE41-456E9C9362B3}" name="Country" dataDxfId="20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8D0F37-70DE-4898-AE3B-749D58D5C5A6}" name="ProductList" displayName="ProductList" ref="B4:S56" totalsRowShown="0" dataDxfId="19">
  <autoFilter ref="B4:S56" xr:uid="{BE8D0F37-70DE-4898-AE3B-749D58D5C5A6}"/>
  <tableColumns count="18">
    <tableColumn id="1" xr3:uid="{AF89D0AC-DEE1-4736-8228-4DA95EF1DCCD}" name="ProductSKU" dataDxfId="18"/>
    <tableColumn id="2" xr3:uid="{776D956F-0072-4A43-A21F-D28D4C218D80}" name="Product Name" dataDxfId="17"/>
    <tableColumn id="3" xr3:uid="{77C65FBB-1D7D-462D-B3F1-DB3C9F961CF7}" name="Description" dataDxfId="16"/>
    <tableColumn id="24" xr3:uid="{DD7E255C-3B98-4B56-8816-D95161216E1A}" name="Product Price 1K" dataDxfId="15" dataCellStyle="Currency">
      <calculatedColumnFormula>IF(ProductList[[#This Row],[Product Cost 1K]]&lt;&gt;"", $D$2*ProductList[[#This Row],[Product Cost 1K]]/100 + ProductList[[#This Row],[Product Cost 1K]],"")</calculatedColumnFormula>
    </tableColumn>
    <tableColumn id="22" xr3:uid="{C72050BB-2D91-4117-9F68-0B09CD1BE4D6}" name="Product Price 5K" dataDxfId="14" dataCellStyle="Currency">
      <calculatedColumnFormula>IF(ProductList[[#This Row],[Product Cost 5K]]&lt;&gt;"", $D$2*ProductList[[#This Row],[Product Cost 5K]]/100 + ProductList[[#This Row],[Product Cost 5K]],"")</calculatedColumnFormula>
    </tableColumn>
    <tableColumn id="21" xr3:uid="{86ABED68-35AE-47DA-92B8-AB9D2F4825F9}" name="Product Price 10K" dataDxfId="13" dataCellStyle="Currency">
      <calculatedColumnFormula>IF(ProductList[[#This Row],[Product Cost 10K]]&lt;&gt;"", $D$2*ProductList[[#This Row],[Product Cost 10K]]/100 + ProductList[[#This Row],[Product Cost 10K]],"")</calculatedColumnFormula>
    </tableColumn>
    <tableColumn id="30" xr3:uid="{D40FAEB5-CD78-4C9E-93A6-1F5E9CAFCCB6}" name="Product Price 100K" dataDxfId="12" dataCellStyle="Currency">
      <calculatedColumnFormula>IF(ProductList[[#This Row],[Product Cost 100K]]&lt;&gt;"", $D$2*ProductList[[#This Row],[Product Cost 100K]]/100 + ProductList[[#This Row],[Product Cost 100K]],"")</calculatedColumnFormula>
    </tableColumn>
    <tableColumn id="26" xr3:uid="{C54A35FE-EDC3-4E06-8997-7EE8672AC212}" name="Product Cost 1K" dataDxfId="11" dataCellStyle="Currency"/>
    <tableColumn id="25" xr3:uid="{058988F8-C7D6-4579-807B-4A6475BF67F2}" name="Product Cost 5K" dataDxfId="10" dataCellStyle="Currency"/>
    <tableColumn id="20" xr3:uid="{064D228E-BA72-4A74-9A83-C861B9380DA0}" name="Product Cost 10K" dataDxfId="9" dataCellStyle="Currency"/>
    <tableColumn id="31" xr3:uid="{CEB6EBEA-33C2-4AB8-AC15-EAE443CF3F55}" name="Product Cost 100K" dataDxfId="8" dataCellStyle="Currency"/>
    <tableColumn id="10" xr3:uid="{0285CACD-9AC1-4304-A320-412561C425BE}" name="Specifications" dataDxfId="7" dataCellStyle="Currency"/>
    <tableColumn id="4" xr3:uid="{889902F3-9D24-42DB-A050-EB9113F9B775}" name="Supplier" dataDxfId="6"/>
    <tableColumn id="28" xr3:uid="{484DF031-073C-403C-B780-96BEAD695C02}" name="Supplier Contact Name" dataDxfId="5"/>
    <tableColumn id="27" xr3:uid="{8DB9D432-CB36-4F2A-B38E-9C13D6FE1FBB}" name="Supplier Contact Phone" dataDxfId="4"/>
    <tableColumn id="6" xr3:uid="{A5EE3089-B44A-47F2-9633-38DE0F7DE2E3}" name="Supplier Price (1K)" dataDxfId="3" dataCellStyle="Currency"/>
    <tableColumn id="7" xr3:uid="{C4C1887F-F946-4D03-8ADB-3D1F40F2B5D8}" name="Supplier Price (5k)" dataDxfId="2" dataCellStyle="Currency"/>
    <tableColumn id="8" xr3:uid="{79E57381-CD4D-4B88-8CC6-6EECC15BF517}" name="Supplier Price (10K)" dataDxfId="1" data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info@qadir.be" TargetMode="External"/><Relationship Id="rId1" Type="http://schemas.openxmlformats.org/officeDocument/2006/relationships/hyperlink" Target="mailto:info@eminmarket.be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Invoices/InvoicesPdf/2040801_TeronTechnologies_505001-EminMarke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45"/>
  <sheetViews>
    <sheetView topLeftCell="A10" zoomScale="85" zoomScaleNormal="85" workbookViewId="0">
      <selection activeCell="E22" sqref="E22"/>
    </sheetView>
  </sheetViews>
  <sheetFormatPr defaultRowHeight="16" customHeight="1" x14ac:dyDescent="0.35"/>
  <cols>
    <col min="1" max="1" width="3.54296875" style="1" customWidth="1"/>
    <col min="2" max="2" width="19.36328125" style="4" customWidth="1"/>
    <col min="3" max="3" width="65.453125" style="1" customWidth="1"/>
    <col min="4" max="4" width="9.1796875" style="2" customWidth="1"/>
    <col min="5" max="5" width="14" style="2" customWidth="1"/>
    <col min="6" max="6" width="12.54296875" style="2" customWidth="1"/>
    <col min="7" max="7" width="17.36328125" style="2" customWidth="1"/>
    <col min="8" max="8" width="4.6328125" style="1" customWidth="1"/>
    <col min="9" max="10" width="8.7265625" style="1"/>
    <col min="11" max="11" width="12.08984375" style="1" customWidth="1"/>
    <col min="12" max="12" width="11.453125" style="1" customWidth="1"/>
    <col min="13" max="15" width="8.7265625" style="1"/>
    <col min="16" max="16" width="20" style="1" customWidth="1"/>
    <col min="17" max="17" width="68.6328125" style="1" customWidth="1"/>
    <col min="18" max="16384" width="8.7265625" style="1"/>
  </cols>
  <sheetData>
    <row r="2" spans="1:17" ht="16" customHeight="1" x14ac:dyDescent="0.35">
      <c r="D2" s="62"/>
      <c r="E2" s="62"/>
      <c r="F2" s="62"/>
      <c r="G2" s="62"/>
      <c r="H2" s="2"/>
    </row>
    <row r="3" spans="1:17" ht="16" customHeight="1" x14ac:dyDescent="0.35">
      <c r="D3" s="62"/>
      <c r="E3" s="62"/>
      <c r="F3" s="62"/>
      <c r="G3" s="62"/>
      <c r="H3" s="2"/>
    </row>
    <row r="4" spans="1:17" ht="14" customHeight="1" x14ac:dyDescent="0.3">
      <c r="B4" s="64" t="s">
        <v>1</v>
      </c>
      <c r="C4" s="64"/>
      <c r="D4" s="62"/>
      <c r="E4" s="62"/>
      <c r="F4" s="62"/>
      <c r="G4" s="62"/>
    </row>
    <row r="5" spans="1:17" ht="7.5" customHeight="1" x14ac:dyDescent="0.3">
      <c r="B5" s="64"/>
      <c r="C5" s="64"/>
      <c r="D5" s="62"/>
      <c r="E5" s="62"/>
      <c r="F5" s="62"/>
      <c r="G5" s="62"/>
    </row>
    <row r="6" spans="1:17" ht="18" customHeight="1" x14ac:dyDescent="0.4">
      <c r="B6" s="63" t="s">
        <v>5</v>
      </c>
      <c r="C6" s="63"/>
      <c r="D6" s="7"/>
      <c r="E6" s="7"/>
      <c r="F6" s="7"/>
      <c r="G6" s="7"/>
    </row>
    <row r="7" spans="1:17" ht="18" customHeight="1" x14ac:dyDescent="0.4">
      <c r="B7" s="63" t="s">
        <v>15</v>
      </c>
      <c r="C7" s="63"/>
      <c r="D7" s="65" t="s">
        <v>10</v>
      </c>
      <c r="E7" s="65"/>
      <c r="F7" s="65"/>
      <c r="G7" s="65"/>
    </row>
    <row r="8" spans="1:17" ht="18" customHeight="1" x14ac:dyDescent="0.4">
      <c r="A8" s="1" t="s">
        <v>3</v>
      </c>
      <c r="B8" s="13" t="s">
        <v>4</v>
      </c>
      <c r="C8" s="13"/>
      <c r="D8" s="63" t="s">
        <v>24</v>
      </c>
      <c r="E8" s="63"/>
      <c r="F8" s="63"/>
      <c r="G8" s="63"/>
    </row>
    <row r="9" spans="1:17" ht="18" customHeight="1" x14ac:dyDescent="0.4">
      <c r="B9" s="12" t="s">
        <v>2</v>
      </c>
      <c r="C9" s="12"/>
      <c r="D9" s="63" t="s">
        <v>25</v>
      </c>
      <c r="E9" s="63"/>
      <c r="F9" s="63"/>
      <c r="G9" s="63"/>
    </row>
    <row r="10" spans="1:17" ht="18" customHeight="1" x14ac:dyDescent="0.3">
      <c r="B10" s="68"/>
      <c r="C10" s="68"/>
      <c r="E10" s="1"/>
      <c r="F10" s="1"/>
      <c r="G10" s="1"/>
    </row>
    <row r="11" spans="1:17" ht="18" customHeight="1" x14ac:dyDescent="0.35">
      <c r="B11" s="3"/>
      <c r="C11" s="5"/>
      <c r="E11" s="1"/>
      <c r="F11" s="1"/>
      <c r="G11" s="1"/>
      <c r="P11" s="66" t="s">
        <v>76</v>
      </c>
      <c r="Q11" s="66"/>
    </row>
    <row r="12" spans="1:17" ht="18" customHeight="1" x14ac:dyDescent="0.4">
      <c r="B12" s="65" t="s">
        <v>9</v>
      </c>
      <c r="C12" s="65"/>
      <c r="E12" s="1"/>
      <c r="F12" s="1"/>
      <c r="G12" s="1"/>
      <c r="P12" s="1" t="s">
        <v>77</v>
      </c>
      <c r="Q12" s="1" t="s">
        <v>79</v>
      </c>
    </row>
    <row r="13" spans="1:17" ht="18" customHeight="1" x14ac:dyDescent="0.3">
      <c r="B13" s="18" t="s">
        <v>12</v>
      </c>
      <c r="C13" s="18" t="s">
        <v>17</v>
      </c>
      <c r="D13" s="11"/>
      <c r="E13" s="6"/>
      <c r="F13" s="6"/>
      <c r="G13" s="6"/>
      <c r="P13" s="1" t="s">
        <v>78</v>
      </c>
      <c r="Q13" s="1" t="s">
        <v>80</v>
      </c>
    </row>
    <row r="14" spans="1:17" s="6" customFormat="1" ht="18" customHeight="1" x14ac:dyDescent="0.35">
      <c r="B14" s="61" t="s">
        <v>13</v>
      </c>
      <c r="C14" s="67" t="str">
        <f>_xlfn.IFNA(VLOOKUP(C13, CustomerList[], 3, 0),"")</f>
        <v>Koolmijnlaan 410, 3581 Beringen</v>
      </c>
      <c r="E14" s="8"/>
      <c r="F14" s="8"/>
      <c r="G14" s="8"/>
    </row>
    <row r="15" spans="1:17" ht="18" customHeight="1" x14ac:dyDescent="0.3">
      <c r="B15" s="61"/>
      <c r="C15" s="67"/>
      <c r="D15" s="11"/>
    </row>
    <row r="16" spans="1:17" ht="18" customHeight="1" x14ac:dyDescent="0.3">
      <c r="B16" s="18" t="s">
        <v>11</v>
      </c>
      <c r="C16" s="18" t="str">
        <f>_xlfn.IFNA(VLOOKUP(C13, CustomerList[], 4, 0),"")</f>
        <v>(+32) 489 16 96 25</v>
      </c>
      <c r="D16" s="11"/>
      <c r="E16" s="61" t="s">
        <v>75</v>
      </c>
      <c r="F16" s="61"/>
      <c r="G16" s="15">
        <f ca="1">TODAY()</f>
        <v>46016</v>
      </c>
    </row>
    <row r="17" spans="2:7" ht="18" customHeight="1" x14ac:dyDescent="0.3">
      <c r="B17" s="18" t="s">
        <v>16</v>
      </c>
      <c r="C17" s="18" t="str">
        <f>_xlfn.IFNA(VLOOKUP(C13, CustomerList[], 5, 0),"")</f>
        <v>info@qadir.be</v>
      </c>
      <c r="D17" s="11"/>
      <c r="E17" s="61" t="s">
        <v>74</v>
      </c>
      <c r="F17" s="61"/>
      <c r="G17" s="16">
        <v>2040810</v>
      </c>
    </row>
    <row r="18" spans="2:7" ht="18" customHeight="1" x14ac:dyDescent="0.3">
      <c r="B18" s="18" t="s">
        <v>14</v>
      </c>
      <c r="C18" s="14">
        <f>_xlfn.IFNA(VLOOKUP(C13, CustomerList[], 6, 0),"")</f>
        <v>0</v>
      </c>
      <c r="D18" s="11"/>
      <c r="E18" s="61" t="s">
        <v>73</v>
      </c>
      <c r="F18" s="61"/>
      <c r="G18" s="17">
        <v>14</v>
      </c>
    </row>
    <row r="19" spans="2:7" ht="18" customHeight="1" x14ac:dyDescent="0.3">
      <c r="B19" s="18" t="s">
        <v>28</v>
      </c>
      <c r="C19" s="14">
        <f>_xlfn.IFNA(VLOOKUP(C13, CustomerList[], 7, 0),"")</f>
        <v>505002</v>
      </c>
      <c r="D19" s="11"/>
    </row>
    <row r="20" spans="2:7" ht="18" customHeight="1" x14ac:dyDescent="0.35"/>
    <row r="21" spans="2:7" ht="20" customHeight="1" x14ac:dyDescent="0.3">
      <c r="B21" s="47" t="s">
        <v>31</v>
      </c>
      <c r="C21" s="42" t="s">
        <v>32</v>
      </c>
      <c r="D21" s="40" t="s">
        <v>0</v>
      </c>
      <c r="E21" s="42" t="s">
        <v>33</v>
      </c>
      <c r="F21" s="40" t="s">
        <v>14</v>
      </c>
      <c r="G21" s="42" t="s">
        <v>60</v>
      </c>
    </row>
    <row r="22" spans="2:7" ht="27.5" customHeight="1" x14ac:dyDescent="0.3">
      <c r="B22" s="22" t="s">
        <v>56</v>
      </c>
      <c r="C22" s="45" t="e">
        <f>IF(Table4[[#This Row],[Product Code]]&lt;&gt;"", VLOOKUP(B22, ProductList[], 2, 0), "")</f>
        <v>#N/A</v>
      </c>
      <c r="D22" s="16">
        <v>10</v>
      </c>
      <c r="E22" s="23" t="e" cm="1">
        <f t="array" ref="E22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>#N/A</v>
      </c>
      <c r="F22" s="41" t="e">
        <f xml:space="preserve"> IF(G22&lt;&gt;"", Table4[[#This Row],[Total (exc VAT)]]*($L$36)/100, "")</f>
        <v>#N/A</v>
      </c>
      <c r="G22" s="43" t="e">
        <f>IF(Table4[[#This Row],[QTY]]&lt;&gt;"", Table4[[#This Row],[QTY]]*Table4[[#This Row],[Unit Price]],"")</f>
        <v>#N/A</v>
      </c>
    </row>
    <row r="23" spans="2:7" ht="20" customHeight="1" x14ac:dyDescent="0.3">
      <c r="B23" s="22" t="s">
        <v>57</v>
      </c>
      <c r="C23" s="45" t="e">
        <f>IF(Table4[[#This Row],[Product Code]]&lt;&gt;"", VLOOKUP(B23, ProductList[], 2, 0), "")</f>
        <v>#N/A</v>
      </c>
      <c r="D23" s="16">
        <v>10</v>
      </c>
      <c r="E23" s="23" t="e" cm="1">
        <f t="array" ref="E23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>#N/A</v>
      </c>
      <c r="F23" s="41" t="e">
        <f xml:space="preserve"> IF(G23&lt;&gt;"", Table4[[#This Row],[Total (exc VAT)]]*($L$36)/100, "")</f>
        <v>#N/A</v>
      </c>
      <c r="G23" s="43" t="e">
        <f>IF(Table4[[#This Row],[QTY]]&lt;&gt;"", Table4[[#This Row],[QTY]]*Table4[[#This Row],[Unit Price]],"")</f>
        <v>#N/A</v>
      </c>
    </row>
    <row r="24" spans="2:7" ht="20" customHeight="1" x14ac:dyDescent="0.3">
      <c r="B24" s="22"/>
      <c r="C24" s="45" t="str">
        <f>IF(Table4[[#This Row],[Product Code]]&lt;&gt;"", VLOOKUP(B24, ProductList[], 2, 0), "")</f>
        <v/>
      </c>
      <c r="D24" s="16"/>
      <c r="E24" s="23" t="str" cm="1">
        <f t="array" ref="E24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4" s="41" t="str">
        <f xml:space="preserve"> IF(G24&lt;&gt;"", Table4[[#This Row],[Total (exc VAT)]]*($L$36)/100, "")</f>
        <v/>
      </c>
      <c r="G24" s="43" t="str">
        <f>IF(Table4[[#This Row],[QTY]]&lt;&gt;"", Table4[[#This Row],[QTY]]*Table4[[#This Row],[Unit Price]],"")</f>
        <v/>
      </c>
    </row>
    <row r="25" spans="2:7" ht="20" customHeight="1" x14ac:dyDescent="0.3">
      <c r="B25" s="22"/>
      <c r="C25" s="45" t="str">
        <f>IF(Table4[[#This Row],[Product Code]]&lt;&gt;"", VLOOKUP(B25, ProductList[], 2, 0), "")</f>
        <v/>
      </c>
      <c r="D25" s="16"/>
      <c r="E25" s="23" t="str" cm="1">
        <f t="array" ref="E25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5" s="41" t="str">
        <f xml:space="preserve"> IF(G25&lt;&gt;"", Table4[[#This Row],[Total (exc VAT)]]*($L$36)/100, "")</f>
        <v/>
      </c>
      <c r="G25" s="43" t="str">
        <f>IF(Table4[[#This Row],[QTY]]&lt;&gt;"", Table4[[#This Row],[QTY]]*Table4[[#This Row],[Unit Price]],"")</f>
        <v/>
      </c>
    </row>
    <row r="26" spans="2:7" ht="20" customHeight="1" x14ac:dyDescent="0.3">
      <c r="B26" s="22"/>
      <c r="C26" s="45" t="str">
        <f>IF(Table4[[#This Row],[Product Code]]&lt;&gt;"", VLOOKUP(B26, ProductList[], 2, 0), "")</f>
        <v/>
      </c>
      <c r="D26" s="16"/>
      <c r="E26" s="23" t="str" cm="1">
        <f t="array" ref="E26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6" s="41" t="str">
        <f xml:space="preserve"> IF(G26&lt;&gt;"", Table4[[#This Row],[Total (exc VAT)]]*($L$36)/100, "")</f>
        <v/>
      </c>
      <c r="G26" s="43" t="str">
        <f>IF(Table4[[#This Row],[QTY]]&lt;&gt;"", Table4[[#This Row],[QTY]]*Table4[[#This Row],[Unit Price]],"")</f>
        <v/>
      </c>
    </row>
    <row r="27" spans="2:7" ht="20" customHeight="1" x14ac:dyDescent="0.3">
      <c r="B27" s="22"/>
      <c r="C27" s="45" t="str">
        <f>IF(Table4[[#This Row],[Product Code]]&lt;&gt;"", VLOOKUP(B27, ProductList[], 2, 0), "")</f>
        <v/>
      </c>
      <c r="D27" s="16"/>
      <c r="E27" s="23" t="str" cm="1">
        <f t="array" ref="E27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7" s="41" t="str">
        <f xml:space="preserve"> IF(G27&lt;&gt;"", Table4[[#This Row],[Total (exc VAT)]]*($L$36)/100, "")</f>
        <v/>
      </c>
      <c r="G27" s="43" t="str">
        <f>IF(Table4[[#This Row],[QTY]]&lt;&gt;"", Table4[[#This Row],[QTY]]*Table4[[#This Row],[Unit Price]],"")</f>
        <v/>
      </c>
    </row>
    <row r="28" spans="2:7" ht="20" customHeight="1" x14ac:dyDescent="0.3">
      <c r="B28" s="22"/>
      <c r="C28" s="45" t="str">
        <f>IF(Table4[[#This Row],[Product Code]]&lt;&gt;"", VLOOKUP(B28, ProductList[], 2, 0), "")</f>
        <v/>
      </c>
      <c r="D28" s="16"/>
      <c r="E28" s="23" t="str" cm="1">
        <f t="array" ref="E28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8" s="41" t="str">
        <f xml:space="preserve"> IF(G28&lt;&gt;"", Table4[[#This Row],[Total (exc VAT)]]*($L$36)/100, "")</f>
        <v/>
      </c>
      <c r="G28" s="43" t="str">
        <f>IF(Table4[[#This Row],[QTY]]&lt;&gt;"", Table4[[#This Row],[QTY]]*Table4[[#This Row],[Unit Price]],"")</f>
        <v/>
      </c>
    </row>
    <row r="29" spans="2:7" ht="20" customHeight="1" x14ac:dyDescent="0.3">
      <c r="B29" s="22"/>
      <c r="C29" s="45" t="str">
        <f>IF(Table4[[#This Row],[Product Code]]&lt;&gt;"", VLOOKUP(B29, ProductList[], 2, 0), "")</f>
        <v/>
      </c>
      <c r="D29" s="16"/>
      <c r="E29" s="23" t="str" cm="1">
        <f t="array" ref="E29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9" s="41" t="str">
        <f xml:space="preserve"> IF(G29&lt;&gt;"", Table4[[#This Row],[Total (exc VAT)]]*($L$36)/100, "")</f>
        <v/>
      </c>
      <c r="G29" s="43" t="str">
        <f>IF(Table4[[#This Row],[QTY]]&lt;&gt;"", Table4[[#This Row],[QTY]]*Table4[[#This Row],[Unit Price]],"")</f>
        <v/>
      </c>
    </row>
    <row r="30" spans="2:7" ht="20" customHeight="1" x14ac:dyDescent="0.3">
      <c r="B30" s="22"/>
      <c r="C30" s="45" t="str">
        <f>IF(Table4[[#This Row],[Product Code]]&lt;&gt;"", VLOOKUP(B30, ProductList[], 2, 0), "")</f>
        <v/>
      </c>
      <c r="D30" s="16"/>
      <c r="E30" s="23" t="str" cm="1">
        <f t="array" ref="E30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0" s="41" t="str">
        <f xml:space="preserve"> IF(G30&lt;&gt;"", Table4[[#This Row],[Total (exc VAT)]]*($L$36)/100, "")</f>
        <v/>
      </c>
      <c r="G30" s="43" t="str">
        <f>IF(Table4[[#This Row],[QTY]]&lt;&gt;"", Table4[[#This Row],[QTY]]*Table4[[#This Row],[Unit Price]],"")</f>
        <v/>
      </c>
    </row>
    <row r="31" spans="2:7" ht="20" customHeight="1" x14ac:dyDescent="0.3">
      <c r="B31" s="22"/>
      <c r="C31" s="45" t="str">
        <f>IF(Table4[[#This Row],[Product Code]]&lt;&gt;"", VLOOKUP(B31, ProductList[], 2, 0), "")</f>
        <v/>
      </c>
      <c r="D31" s="16"/>
      <c r="E31" s="23" t="str" cm="1">
        <f t="array" ref="E31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1" s="41" t="str">
        <f xml:space="preserve"> IF(G31&lt;&gt;"", Table4[[#This Row],[Total (exc VAT)]]*($L$36)/100, "")</f>
        <v/>
      </c>
      <c r="G31" s="43" t="str">
        <f>IF(Table4[[#This Row],[QTY]]&lt;&gt;"", Table4[[#This Row],[QTY]]*Table4[[#This Row],[Unit Price]],"")</f>
        <v/>
      </c>
    </row>
    <row r="32" spans="2:7" ht="20" customHeight="1" x14ac:dyDescent="0.3">
      <c r="B32" s="22"/>
      <c r="C32" s="45" t="str">
        <f>IF(Table4[[#This Row],[Product Code]]&lt;&gt;"", VLOOKUP(B32, ProductList[], 2, 0), "")</f>
        <v/>
      </c>
      <c r="D32" s="16"/>
      <c r="E32" s="23" t="str" cm="1">
        <f t="array" ref="E32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2" s="41" t="str">
        <f xml:space="preserve"> IF(G32&lt;&gt;"", Table4[[#This Row],[Total (exc VAT)]]*($L$36)/100, "")</f>
        <v/>
      </c>
      <c r="G32" s="43" t="str">
        <f>IF(Table4[[#This Row],[QTY]]&lt;&gt;"", Table4[[#This Row],[QTY]]*Table4[[#This Row],[Unit Price]],"")</f>
        <v/>
      </c>
    </row>
    <row r="33" spans="2:12" ht="20" customHeight="1" x14ac:dyDescent="0.3">
      <c r="B33" s="22"/>
      <c r="C33" s="45" t="str">
        <f>IF(Table4[[#This Row],[Product Code]]&lt;&gt;"", VLOOKUP(B33, ProductList[], 2, 0), "")</f>
        <v/>
      </c>
      <c r="D33" s="16"/>
      <c r="E33" s="23" t="str" cm="1">
        <f t="array" ref="E33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3" s="41" t="str">
        <f xml:space="preserve"> IF(G33&lt;&gt;"", Table4[[#This Row],[Total (exc VAT)]]*($L$36)/100, "")</f>
        <v/>
      </c>
      <c r="G33" s="43" t="str">
        <f>IF(Table4[[#This Row],[QTY]]&lt;&gt;"", Table4[[#This Row],[QTY]]*Table4[[#This Row],[Unit Price]],"")</f>
        <v/>
      </c>
    </row>
    <row r="34" spans="2:12" ht="20" customHeight="1" x14ac:dyDescent="0.3">
      <c r="B34" s="22"/>
      <c r="C34" s="45" t="str">
        <f>IF(Table4[[#This Row],[Product Code]]&lt;&gt;"", VLOOKUP(B34, ProductList[], 2, 0), "")</f>
        <v/>
      </c>
      <c r="D34" s="16"/>
      <c r="E34" s="23" t="str" cm="1">
        <f t="array" ref="E34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4" s="41" t="str">
        <f xml:space="preserve"> IF(G34&lt;&gt;"", Table4[[#This Row],[Total (exc VAT)]]*($L$36)/100, "")</f>
        <v/>
      </c>
      <c r="G34" s="43" t="str">
        <f>IF(Table4[[#This Row],[QTY]]&lt;&gt;"", Table4[[#This Row],[QTY]]*Table4[[#This Row],[Unit Price]],"")</f>
        <v/>
      </c>
    </row>
    <row r="35" spans="2:12" ht="20" customHeight="1" x14ac:dyDescent="0.3">
      <c r="B35" s="25"/>
      <c r="C35" s="46" t="str">
        <f>IF(Table4[[#This Row],[Product Code]]&lt;&gt;"", VLOOKUP(B35, ProductList[], 2, 0), "")</f>
        <v/>
      </c>
      <c r="D35" s="16"/>
      <c r="E35" s="24" t="str" cm="1">
        <f t="array" ref="E35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5" s="41" t="str">
        <f xml:space="preserve"> IF(G35&lt;&gt;"", Table4[[#This Row],[Total (exc VAT)]]*($L$36)/100, "")</f>
        <v/>
      </c>
      <c r="G35" s="44" t="str">
        <f>IF(Table4[[#This Row],[QTY]]&lt;&gt;"", Table4[[#This Row],[QTY]]*Table4[[#This Row],[Unit Price]],"")</f>
        <v/>
      </c>
    </row>
    <row r="36" spans="2:12" ht="20" customHeight="1" x14ac:dyDescent="0.4">
      <c r="B36" s="60" t="s">
        <v>61</v>
      </c>
      <c r="C36" s="60"/>
      <c r="D36" s="60"/>
      <c r="E36" s="60"/>
      <c r="F36" s="37" t="s">
        <v>37</v>
      </c>
      <c r="G36" s="36" t="e">
        <f xml:space="preserve"> SUM(G22:G35)</f>
        <v>#N/A</v>
      </c>
      <c r="K36" s="26" t="s">
        <v>63</v>
      </c>
      <c r="L36" s="26">
        <v>20</v>
      </c>
    </row>
    <row r="37" spans="2:12" ht="23" customHeight="1" x14ac:dyDescent="0.3">
      <c r="B37" s="60"/>
      <c r="C37" s="60"/>
      <c r="D37" s="60"/>
      <c r="E37" s="60"/>
      <c r="F37" s="21" t="s">
        <v>14</v>
      </c>
      <c r="G37" s="20" t="e">
        <f xml:space="preserve"> SUM(F22:F35)</f>
        <v>#N/A</v>
      </c>
    </row>
    <row r="38" spans="2:12" ht="23" customHeight="1" x14ac:dyDescent="0.3">
      <c r="B38" s="60"/>
      <c r="C38" s="60"/>
      <c r="D38" s="60"/>
      <c r="E38" s="60"/>
      <c r="F38" s="29" t="s">
        <v>23</v>
      </c>
      <c r="G38" s="35" t="e">
        <f>SUM(G36+G37)</f>
        <v>#N/A</v>
      </c>
    </row>
    <row r="39" spans="2:12" ht="27" customHeight="1" x14ac:dyDescent="0.3">
      <c r="B39" s="60"/>
      <c r="C39" s="60"/>
      <c r="D39" s="60"/>
      <c r="E39" s="60"/>
      <c r="F39" s="27"/>
      <c r="G39" s="28"/>
    </row>
    <row r="40" spans="2:12" ht="16" customHeight="1" x14ac:dyDescent="0.3">
      <c r="B40" s="60"/>
      <c r="C40" s="60"/>
      <c r="D40" s="60"/>
      <c r="E40" s="60"/>
      <c r="F40" s="27"/>
      <c r="G40" s="28"/>
    </row>
    <row r="41" spans="2:12" ht="16" customHeight="1" x14ac:dyDescent="0.4">
      <c r="B41" s="13" t="s">
        <v>62</v>
      </c>
    </row>
    <row r="42" spans="2:12" ht="16" customHeight="1" x14ac:dyDescent="0.3">
      <c r="B42" s="58"/>
      <c r="C42" s="58"/>
      <c r="D42" s="58"/>
      <c r="E42" s="58"/>
      <c r="F42" s="58"/>
      <c r="G42" s="58"/>
    </row>
    <row r="43" spans="2:12" ht="16" customHeight="1" x14ac:dyDescent="0.3">
      <c r="B43" s="58"/>
      <c r="C43" s="58"/>
      <c r="D43" s="58"/>
      <c r="E43" s="58"/>
      <c r="F43" s="58"/>
      <c r="G43" s="58"/>
    </row>
    <row r="44" spans="2:12" ht="16" customHeight="1" x14ac:dyDescent="0.3">
      <c r="B44" s="58"/>
      <c r="C44" s="58"/>
      <c r="D44" s="58"/>
      <c r="E44" s="58"/>
      <c r="F44" s="58"/>
      <c r="G44" s="58"/>
    </row>
    <row r="45" spans="2:12" ht="27" customHeight="1" x14ac:dyDescent="0.3">
      <c r="B45" s="59" t="str">
        <f>IF(L36 &lt;&gt; 0, "","VAT 0% – Intra-Community supply. Reverse charge (Article 138 EU VAT Directive) applies to items.")</f>
        <v/>
      </c>
      <c r="C45" s="59"/>
      <c r="D45" s="59"/>
      <c r="E45" s="59"/>
      <c r="F45" s="59"/>
      <c r="G45" s="59"/>
    </row>
  </sheetData>
  <mergeCells count="18">
    <mergeCell ref="P11:Q11"/>
    <mergeCell ref="B12:C12"/>
    <mergeCell ref="B14:B15"/>
    <mergeCell ref="C14:C15"/>
    <mergeCell ref="B10:C10"/>
    <mergeCell ref="B42:G44"/>
    <mergeCell ref="B45:G45"/>
    <mergeCell ref="B36:E40"/>
    <mergeCell ref="E18:F18"/>
    <mergeCell ref="D2:G5"/>
    <mergeCell ref="B6:C6"/>
    <mergeCell ref="D8:G8"/>
    <mergeCell ref="B4:C5"/>
    <mergeCell ref="D9:G9"/>
    <mergeCell ref="D7:G7"/>
    <mergeCell ref="B7:C7"/>
    <mergeCell ref="E16:F16"/>
    <mergeCell ref="E17:F17"/>
  </mergeCells>
  <dataValidations count="2">
    <dataValidation type="list" allowBlank="1" showInputMessage="1" showErrorMessage="1" sqref="C13" xr:uid="{822333AE-FEB4-469C-8466-AC668F4B3310}">
      <formula1>CustomersDropDown</formula1>
    </dataValidation>
    <dataValidation type="list" allowBlank="1" showInputMessage="1" showErrorMessage="1" sqref="L36" xr:uid="{6D98726E-2D03-4049-AE67-83B4AE278CA4}">
      <formula1>"20,0"</formula1>
    </dataValidation>
  </dataValidations>
  <pageMargins left="0.51181102362204722" right="0.51181102362204722" top="0.55118110236220474" bottom="0.35433070866141736" header="0.31496062992125984" footer="0.31496062992125984"/>
  <pageSetup paperSize="9" scale="6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RecordOfInvoice">
                <anchor moveWithCells="1" sizeWithCells="1">
                  <from>
                    <xdr:col>9</xdr:col>
                    <xdr:colOff>0</xdr:colOff>
                    <xdr:row>13</xdr:row>
                    <xdr:rowOff>88900</xdr:rowOff>
                  </from>
                  <to>
                    <xdr:col>11</xdr:col>
                    <xdr:colOff>393700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autoFill="0" autoPict="0" macro="[0]!CreateNewInvoice">
                <anchor moveWithCells="1" sizeWithCells="1">
                  <from>
                    <xdr:col>9</xdr:col>
                    <xdr:colOff>12700</xdr:colOff>
                    <xdr:row>9</xdr:row>
                    <xdr:rowOff>95250</xdr:rowOff>
                  </from>
                  <to>
                    <xdr:col>11</xdr:col>
                    <xdr:colOff>412750</xdr:colOff>
                    <xdr:row>11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D42801A-354F-4E37-9232-961576F7712E}">
            <xm:f>COUNTIF('Record Of Invoices'!A1:A1000, G17) &gt; 0</xm:f>
            <x14:dxf>
              <fill>
                <patternFill>
                  <bgColor rgb="FFFF0000"/>
                </patternFill>
              </fill>
            </x14:dxf>
          </x14:cfRule>
          <xm:sqref>G17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13ABD-C0ED-40C9-8FBC-EA6039F549AC}">
  <sheetPr codeName="Sheet2"/>
  <dimension ref="B2:I15"/>
  <sheetViews>
    <sheetView workbookViewId="0">
      <selection activeCell="G4" sqref="G4"/>
    </sheetView>
  </sheetViews>
  <sheetFormatPr defaultRowHeight="14.5" x14ac:dyDescent="0.35"/>
  <cols>
    <col min="1" max="1" width="8.54296875" customWidth="1"/>
    <col min="2" max="3" width="21.81640625" style="9" customWidth="1"/>
    <col min="4" max="4" width="23.08984375" style="9" customWidth="1"/>
    <col min="5" max="5" width="28.54296875" style="9" customWidth="1"/>
    <col min="6" max="7" width="21.81640625" style="9" customWidth="1"/>
    <col min="8" max="8" width="17.453125" customWidth="1"/>
    <col min="9" max="9" width="15.453125" customWidth="1"/>
    <col min="10" max="10" width="8.7265625" customWidth="1"/>
    <col min="11" max="11" width="17.90625" customWidth="1"/>
    <col min="12" max="12" width="8.7265625" customWidth="1"/>
  </cols>
  <sheetData>
    <row r="2" spans="2:9" x14ac:dyDescent="0.35">
      <c r="B2" s="9" t="s">
        <v>22</v>
      </c>
      <c r="C2" s="9" t="s">
        <v>27</v>
      </c>
      <c r="D2" s="9" t="s">
        <v>13</v>
      </c>
      <c r="E2" s="9" t="s">
        <v>11</v>
      </c>
      <c r="F2" s="9" t="s">
        <v>16</v>
      </c>
      <c r="G2" s="9" t="s">
        <v>14</v>
      </c>
      <c r="H2" s="9" t="s">
        <v>26</v>
      </c>
      <c r="I2" s="9" t="s">
        <v>29</v>
      </c>
    </row>
    <row r="3" spans="2:9" ht="29" x14ac:dyDescent="0.35">
      <c r="B3" s="9" t="s">
        <v>6</v>
      </c>
      <c r="C3" s="9" t="s">
        <v>6</v>
      </c>
      <c r="D3" s="9" t="s">
        <v>19</v>
      </c>
      <c r="E3" s="9" t="s">
        <v>7</v>
      </c>
      <c r="F3" s="10" t="s">
        <v>8</v>
      </c>
      <c r="G3" s="9">
        <v>12345</v>
      </c>
      <c r="H3" s="9" cm="1">
        <f t="array" ref="H3">IF(B3&lt;&gt;"", 505000 + ROW(1:1), "")</f>
        <v>505001</v>
      </c>
      <c r="I3" s="9" t="s">
        <v>30</v>
      </c>
    </row>
    <row r="4" spans="2:9" ht="29" x14ac:dyDescent="0.35">
      <c r="B4" s="9" t="s">
        <v>17</v>
      </c>
      <c r="C4" s="9" t="s">
        <v>17</v>
      </c>
      <c r="D4" s="9" t="s">
        <v>18</v>
      </c>
      <c r="E4" s="9" t="s">
        <v>21</v>
      </c>
      <c r="F4" s="10" t="s">
        <v>20</v>
      </c>
      <c r="H4" s="9" cm="1">
        <f t="array" ref="H4">IF(B4&lt;&gt;"", 505000 + ROW(2:2), "")</f>
        <v>505002</v>
      </c>
      <c r="I4" s="9" t="s">
        <v>30</v>
      </c>
    </row>
    <row r="5" spans="2:9" x14ac:dyDescent="0.35">
      <c r="F5" s="10"/>
      <c r="H5" s="9" t="str" cm="1">
        <f t="array" ref="H5">IF(B5&lt;&gt;"", 505000 + ROW(3:3), "")</f>
        <v/>
      </c>
      <c r="I5" s="9"/>
    </row>
    <row r="6" spans="2:9" x14ac:dyDescent="0.35">
      <c r="F6" s="10"/>
      <c r="H6" s="9" t="str" cm="1">
        <f t="array" ref="H6">IF(B6&lt;&gt;"", 505000 + ROW(4:4), "")</f>
        <v/>
      </c>
      <c r="I6" s="9"/>
    </row>
    <row r="7" spans="2:9" x14ac:dyDescent="0.35">
      <c r="F7" s="10"/>
      <c r="H7" s="9" t="str" cm="1">
        <f t="array" ref="H7">IF(B7&lt;&gt;"", 505000 + ROW(5:5), "")</f>
        <v/>
      </c>
      <c r="I7" s="9"/>
    </row>
    <row r="8" spans="2:9" x14ac:dyDescent="0.35">
      <c r="F8" s="10"/>
      <c r="H8" s="9" t="str" cm="1">
        <f t="array" ref="H8">IF(B8&lt;&gt;"", 505000 + ROW(6:6), "")</f>
        <v/>
      </c>
      <c r="I8" s="9"/>
    </row>
    <row r="9" spans="2:9" x14ac:dyDescent="0.35">
      <c r="F9" s="10"/>
      <c r="H9" s="9" t="str" cm="1">
        <f t="array" ref="H9">IF(B9&lt;&gt;"", 505000 + ROW(7:7), "")</f>
        <v/>
      </c>
      <c r="I9" s="9"/>
    </row>
    <row r="10" spans="2:9" x14ac:dyDescent="0.35">
      <c r="F10" s="10"/>
      <c r="H10" s="9" t="str" cm="1">
        <f t="array" ref="H10">IF(B10&lt;&gt;"", 505000 + ROW(8:8), "")</f>
        <v/>
      </c>
      <c r="I10" s="9"/>
    </row>
    <row r="11" spans="2:9" x14ac:dyDescent="0.35">
      <c r="F11" s="10"/>
      <c r="H11" s="9" t="str" cm="1">
        <f t="array" ref="H11">IF(B11&lt;&gt;"", 505000 + ROW(9:9), "")</f>
        <v/>
      </c>
      <c r="I11" s="9"/>
    </row>
    <row r="12" spans="2:9" x14ac:dyDescent="0.35">
      <c r="F12" s="10"/>
      <c r="H12" s="9" t="str" cm="1">
        <f t="array" ref="H12">IF(B12&lt;&gt;"", 505000 + ROW(10:10), "")</f>
        <v/>
      </c>
      <c r="I12" s="9"/>
    </row>
    <row r="13" spans="2:9" x14ac:dyDescent="0.35">
      <c r="F13" s="10"/>
      <c r="H13" s="9" t="str" cm="1">
        <f t="array" ref="H13">IF(B13&lt;&gt;"", 505000 + ROW(11:11), "")</f>
        <v/>
      </c>
      <c r="I13" s="9"/>
    </row>
    <row r="14" spans="2:9" x14ac:dyDescent="0.35">
      <c r="F14" s="10"/>
      <c r="H14" s="9" t="str" cm="1">
        <f t="array" ref="H14">IF(B14&lt;&gt;"", 505000 + ROW(12:12), "")</f>
        <v/>
      </c>
      <c r="I14" s="9"/>
    </row>
    <row r="15" spans="2:9" x14ac:dyDescent="0.35">
      <c r="F15" s="10"/>
      <c r="H15" s="9" t="str" cm="1">
        <f t="array" ref="H15">IF(B15&lt;&gt;"", 505000 + ROW(13:13), "")</f>
        <v/>
      </c>
      <c r="I15" s="9"/>
    </row>
  </sheetData>
  <phoneticPr fontId="11" type="noConversion"/>
  <hyperlinks>
    <hyperlink ref="F3" r:id="rId1" xr:uid="{5D8D1EA8-CAB1-4AB6-8A48-79DFE0A80959}"/>
    <hyperlink ref="F4" r:id="rId2" xr:uid="{D2459247-899A-40DD-82EE-D8E02524161A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8A10-4888-438E-B7B0-5A44450D7066}">
  <sheetPr codeName="Sheet3"/>
  <dimension ref="B2:T56"/>
  <sheetViews>
    <sheetView tabSelected="1" topLeftCell="A8" zoomScale="70" zoomScaleNormal="70" workbookViewId="0">
      <selection activeCell="E13" sqref="E13"/>
    </sheetView>
  </sheetViews>
  <sheetFormatPr defaultRowHeight="14.5" x14ac:dyDescent="0.35"/>
  <cols>
    <col min="2" max="2" width="26.36328125" customWidth="1"/>
    <col min="3" max="3" width="34.36328125" customWidth="1"/>
    <col min="4" max="4" width="51.90625" customWidth="1"/>
    <col min="5" max="5" width="20.453125" customWidth="1"/>
    <col min="6" max="6" width="18" customWidth="1"/>
    <col min="7" max="12" width="20.453125" customWidth="1"/>
    <col min="13" max="13" width="60.81640625" style="39" customWidth="1"/>
    <col min="14" max="14" width="27.81640625" customWidth="1"/>
    <col min="15" max="15" width="22.81640625" customWidth="1"/>
    <col min="16" max="16" width="18.08984375" customWidth="1"/>
    <col min="17" max="17" width="23.36328125" style="56" customWidth="1"/>
    <col min="18" max="18" width="23.08984375" customWidth="1"/>
    <col min="19" max="19" width="27.1796875" style="56" customWidth="1"/>
    <col min="20" max="20" width="23" style="19" customWidth="1"/>
    <col min="21" max="21" width="22" customWidth="1"/>
    <col min="22" max="22" width="20.36328125" customWidth="1"/>
    <col min="23" max="23" width="10.36328125" customWidth="1"/>
    <col min="24" max="32" width="11.36328125" customWidth="1"/>
  </cols>
  <sheetData>
    <row r="2" spans="2:20" x14ac:dyDescent="0.35">
      <c r="B2" s="69" t="s">
        <v>41</v>
      </c>
      <c r="C2" s="69"/>
      <c r="D2" s="48">
        <v>40</v>
      </c>
      <c r="F2" s="48" t="s">
        <v>225</v>
      </c>
      <c r="G2" s="48"/>
    </row>
    <row r="4" spans="2:20" x14ac:dyDescent="0.35">
      <c r="B4" t="s">
        <v>34</v>
      </c>
      <c r="C4" t="s">
        <v>35</v>
      </c>
      <c r="D4" t="s">
        <v>32</v>
      </c>
      <c r="E4" s="19" t="s">
        <v>44</v>
      </c>
      <c r="F4" s="19" t="s">
        <v>43</v>
      </c>
      <c r="G4" s="19" t="s">
        <v>42</v>
      </c>
      <c r="H4" s="19" t="s">
        <v>59</v>
      </c>
      <c r="I4" s="19" t="s">
        <v>45</v>
      </c>
      <c r="J4" s="19" t="s">
        <v>46</v>
      </c>
      <c r="K4" s="19" t="s">
        <v>47</v>
      </c>
      <c r="L4" s="19" t="s">
        <v>58</v>
      </c>
      <c r="M4" s="51" t="s">
        <v>81</v>
      </c>
      <c r="N4" t="s">
        <v>36</v>
      </c>
      <c r="O4" t="s">
        <v>48</v>
      </c>
      <c r="P4" t="s">
        <v>49</v>
      </c>
      <c r="Q4" s="57" t="s">
        <v>38</v>
      </c>
      <c r="R4" s="19" t="s">
        <v>39</v>
      </c>
      <c r="S4" s="57" t="s">
        <v>40</v>
      </c>
      <c r="T4"/>
    </row>
    <row r="5" spans="2:20" ht="101.5" x14ac:dyDescent="0.35">
      <c r="B5" s="49" t="s">
        <v>82</v>
      </c>
      <c r="C5" s="49" t="s">
        <v>100</v>
      </c>
      <c r="D5" s="49" t="s">
        <v>94</v>
      </c>
      <c r="E5" s="50" t="str">
        <f>IF(ProductList[[#This Row],[Product Cost 1K]]&lt;&gt;"", $D$2*ProductList[[#This Row],[Product Cost 1K]]/100 + ProductList[[#This Row],[Product Cost 1K]],"")</f>
        <v/>
      </c>
      <c r="F5" s="50" t="str">
        <f>IF(ProductList[[#This Row],[Product Cost 5K]]&lt;&gt;"", $D$2*ProductList[[#This Row],[Product Cost 5K]]/100 + ProductList[[#This Row],[Product Cost 5K]],"")</f>
        <v/>
      </c>
      <c r="G5" s="50" t="str">
        <f>IF(ProductList[[#This Row],[Product Cost 10K]]&lt;&gt;"", $D$2*ProductList[[#This Row],[Product Cost 10K]]/100 + ProductList[[#This Row],[Product Cost 10K]],"")</f>
        <v/>
      </c>
      <c r="H5" s="50" t="str">
        <f>IF(ProductList[[#This Row],[Product Cost 100K]]&lt;&gt;"", $D$2*ProductList[[#This Row],[Product Cost 100K]]/100 + ProductList[[#This Row],[Product Cost 100K]],"")</f>
        <v/>
      </c>
      <c r="I5" s="50"/>
      <c r="J5" s="50"/>
      <c r="K5" s="50"/>
      <c r="L5" s="50"/>
      <c r="M5" s="53" t="s">
        <v>179</v>
      </c>
      <c r="N5" s="49" t="s">
        <v>53</v>
      </c>
      <c r="O5" s="49" t="s">
        <v>54</v>
      </c>
      <c r="P5" s="49" t="s">
        <v>55</v>
      </c>
      <c r="Q5" s="55"/>
      <c r="R5" s="55"/>
      <c r="S5" s="55"/>
      <c r="T5"/>
    </row>
    <row r="6" spans="2:20" ht="101.5" x14ac:dyDescent="0.35">
      <c r="B6" s="49" t="s">
        <v>83</v>
      </c>
      <c r="C6" s="49" t="s">
        <v>101</v>
      </c>
      <c r="D6" s="49" t="s">
        <v>95</v>
      </c>
      <c r="E6" s="50" t="str">
        <f>IF(ProductList[[#This Row],[Product Cost 1K]]&lt;&gt;"", $D$2*ProductList[[#This Row],[Product Cost 1K]]/100 + ProductList[[#This Row],[Product Cost 1K]],"")</f>
        <v/>
      </c>
      <c r="F6" s="50" t="str">
        <f>IF(ProductList[[#This Row],[Product Cost 5K]]&lt;&gt;"", $D$2*ProductList[[#This Row],[Product Cost 5K]]/100 + ProductList[[#This Row],[Product Cost 5K]],"")</f>
        <v/>
      </c>
      <c r="G6" s="50" t="str">
        <f>IF(ProductList[[#This Row],[Product Cost 10K]]&lt;&gt;"", $D$2*ProductList[[#This Row],[Product Cost 10K]]/100 + ProductList[[#This Row],[Product Cost 10K]],"")</f>
        <v/>
      </c>
      <c r="H6" s="50" t="str">
        <f>IF(ProductList[[#This Row],[Product Cost 100K]]&lt;&gt;"", $D$2*ProductList[[#This Row],[Product Cost 100K]]/100 + ProductList[[#This Row],[Product Cost 100K]],"")</f>
        <v/>
      </c>
      <c r="I6" s="50"/>
      <c r="J6" s="50"/>
      <c r="K6" s="50"/>
      <c r="L6" s="50"/>
      <c r="M6" s="53" t="s">
        <v>180</v>
      </c>
      <c r="N6" s="49" t="s">
        <v>53</v>
      </c>
      <c r="O6" s="49" t="s">
        <v>54</v>
      </c>
      <c r="P6" s="49" t="s">
        <v>182</v>
      </c>
      <c r="Q6" s="55"/>
      <c r="R6" s="55"/>
      <c r="S6" s="55"/>
      <c r="T6"/>
    </row>
    <row r="7" spans="2:20" ht="101.5" x14ac:dyDescent="0.35">
      <c r="B7" s="49" t="s">
        <v>84</v>
      </c>
      <c r="C7" s="49" t="s">
        <v>102</v>
      </c>
      <c r="D7" s="49" t="s">
        <v>96</v>
      </c>
      <c r="E7" s="50" t="str">
        <f>IF(ProductList[[#This Row],[Product Cost 1K]]&lt;&gt;"", $D$2*ProductList[[#This Row],[Product Cost 1K]]/100 + ProductList[[#This Row],[Product Cost 1K]],"")</f>
        <v/>
      </c>
      <c r="F7" s="50" t="str">
        <f>IF(ProductList[[#This Row],[Product Cost 5K]]&lt;&gt;"", $D$2*ProductList[[#This Row],[Product Cost 5K]]/100 + ProductList[[#This Row],[Product Cost 5K]],"")</f>
        <v/>
      </c>
      <c r="G7" s="50" t="str">
        <f>IF(ProductList[[#This Row],[Product Cost 10K]]&lt;&gt;"", $D$2*ProductList[[#This Row],[Product Cost 10K]]/100 + ProductList[[#This Row],[Product Cost 10K]],"")</f>
        <v/>
      </c>
      <c r="H7" s="50" t="str">
        <f>IF(ProductList[[#This Row],[Product Cost 100K]]&lt;&gt;"", $D$2*ProductList[[#This Row],[Product Cost 100K]]/100 + ProductList[[#This Row],[Product Cost 100K]],"")</f>
        <v/>
      </c>
      <c r="I7" s="50"/>
      <c r="J7" s="50"/>
      <c r="K7" s="50"/>
      <c r="L7" s="50"/>
      <c r="M7" s="53" t="s">
        <v>181</v>
      </c>
      <c r="N7" s="49" t="s">
        <v>53</v>
      </c>
      <c r="O7" s="49" t="s">
        <v>54</v>
      </c>
      <c r="P7" s="49" t="s">
        <v>183</v>
      </c>
      <c r="Q7" s="55"/>
      <c r="R7" s="55"/>
      <c r="S7" s="55"/>
      <c r="T7"/>
    </row>
    <row r="8" spans="2:20" ht="101.5" x14ac:dyDescent="0.35">
      <c r="B8" s="49" t="s">
        <v>85</v>
      </c>
      <c r="C8" s="49" t="s">
        <v>50</v>
      </c>
      <c r="D8" s="49" t="s">
        <v>97</v>
      </c>
      <c r="E8" s="50" t="str">
        <f>IF(ProductList[[#This Row],[Product Cost 1K]]&lt;&gt;"", $D$2*ProductList[[#This Row],[Product Cost 1K]]/100 + ProductList[[#This Row],[Product Cost 1K]],"")</f>
        <v/>
      </c>
      <c r="F8" s="50" t="str">
        <f>IF(ProductList[[#This Row],[Product Cost 5K]]&lt;&gt;"", $D$2*ProductList[[#This Row],[Product Cost 5K]]/100 + ProductList[[#This Row],[Product Cost 5K]],"")</f>
        <v/>
      </c>
      <c r="G8" s="50" t="str">
        <f>IF(ProductList[[#This Row],[Product Cost 10K]]&lt;&gt;"", $D$2*ProductList[[#This Row],[Product Cost 10K]]/100 + ProductList[[#This Row],[Product Cost 10K]],"")</f>
        <v/>
      </c>
      <c r="H8" s="50" t="str">
        <f>IF(ProductList[[#This Row],[Product Cost 100K]]&lt;&gt;"", $D$2*ProductList[[#This Row],[Product Cost 100K]]/100 + ProductList[[#This Row],[Product Cost 100K]],"")</f>
        <v/>
      </c>
      <c r="I8" s="50"/>
      <c r="J8" s="50"/>
      <c r="K8" s="50"/>
      <c r="L8" s="50"/>
      <c r="M8" s="53" t="s">
        <v>213</v>
      </c>
      <c r="N8" s="49" t="s">
        <v>53</v>
      </c>
      <c r="O8" s="49" t="s">
        <v>54</v>
      </c>
      <c r="P8" s="49" t="s">
        <v>184</v>
      </c>
      <c r="Q8" s="55"/>
      <c r="R8" s="55"/>
      <c r="S8" s="55"/>
      <c r="T8"/>
    </row>
    <row r="9" spans="2:20" ht="101.5" x14ac:dyDescent="0.35">
      <c r="B9" s="49" t="s">
        <v>86</v>
      </c>
      <c r="C9" s="49" t="s">
        <v>51</v>
      </c>
      <c r="D9" s="49" t="s">
        <v>98</v>
      </c>
      <c r="E9" s="50" t="str">
        <f>IF(ProductList[[#This Row],[Product Cost 1K]]&lt;&gt;"", $D$2*ProductList[[#This Row],[Product Cost 1K]]/100 + ProductList[[#This Row],[Product Cost 1K]],"")</f>
        <v/>
      </c>
      <c r="F9" s="50" t="str">
        <f>IF(ProductList[[#This Row],[Product Cost 5K]]&lt;&gt;"", $D$2*ProductList[[#This Row],[Product Cost 5K]]/100 + ProductList[[#This Row],[Product Cost 5K]],"")</f>
        <v/>
      </c>
      <c r="G9" s="50" t="str">
        <f>IF(ProductList[[#This Row],[Product Cost 10K]]&lt;&gt;"", $D$2*ProductList[[#This Row],[Product Cost 10K]]/100 + ProductList[[#This Row],[Product Cost 10K]],"")</f>
        <v/>
      </c>
      <c r="H9" s="50" t="str">
        <f>IF(ProductList[[#This Row],[Product Cost 100K]]&lt;&gt;"", $D$2*ProductList[[#This Row],[Product Cost 100K]]/100 + ProductList[[#This Row],[Product Cost 100K]],"")</f>
        <v/>
      </c>
      <c r="I9" s="50"/>
      <c r="J9" s="50"/>
      <c r="K9" s="50"/>
      <c r="L9" s="50"/>
      <c r="M9" s="53" t="s">
        <v>212</v>
      </c>
      <c r="N9" s="49" t="s">
        <v>53</v>
      </c>
      <c r="O9" s="49" t="s">
        <v>54</v>
      </c>
      <c r="P9" s="49" t="s">
        <v>185</v>
      </c>
      <c r="Q9" s="55">
        <v>3.5</v>
      </c>
      <c r="R9" s="55">
        <v>3.34</v>
      </c>
      <c r="S9" s="55"/>
      <c r="T9"/>
    </row>
    <row r="10" spans="2:20" ht="101.5" x14ac:dyDescent="0.35">
      <c r="B10" s="49" t="s">
        <v>87</v>
      </c>
      <c r="C10" s="49" t="s">
        <v>52</v>
      </c>
      <c r="D10" s="49" t="s">
        <v>99</v>
      </c>
      <c r="E10" s="50" t="str">
        <f>IF(ProductList[[#This Row],[Product Cost 1K]]&lt;&gt;"", $D$2*ProductList[[#This Row],[Product Cost 1K]]/100 + ProductList[[#This Row],[Product Cost 1K]],"")</f>
        <v/>
      </c>
      <c r="F10" s="50" t="str">
        <f>IF(ProductList[[#This Row],[Product Cost 5K]]&lt;&gt;"", $D$2*ProductList[[#This Row],[Product Cost 5K]]/100 + ProductList[[#This Row],[Product Cost 5K]],"")</f>
        <v/>
      </c>
      <c r="G10" s="50" t="str">
        <f>IF(ProductList[[#This Row],[Product Cost 10K]]&lt;&gt;"", $D$2*ProductList[[#This Row],[Product Cost 10K]]/100 + ProductList[[#This Row],[Product Cost 10K]],"")</f>
        <v/>
      </c>
      <c r="H10" s="50" t="str">
        <f>IF(ProductList[[#This Row],[Product Cost 100K]]&lt;&gt;"", $D$2*ProductList[[#This Row],[Product Cost 100K]]/100 + ProductList[[#This Row],[Product Cost 100K]],"")</f>
        <v/>
      </c>
      <c r="I10" s="50"/>
      <c r="J10" s="50"/>
      <c r="K10" s="50"/>
      <c r="L10" s="50"/>
      <c r="M10" s="53" t="s">
        <v>214</v>
      </c>
      <c r="N10" s="49" t="s">
        <v>53</v>
      </c>
      <c r="O10" s="49" t="s">
        <v>54</v>
      </c>
      <c r="P10" s="49" t="s">
        <v>186</v>
      </c>
      <c r="Q10" s="55">
        <v>3.74</v>
      </c>
      <c r="R10" s="55">
        <v>3.54</v>
      </c>
      <c r="S10" s="55"/>
      <c r="T10"/>
    </row>
    <row r="11" spans="2:20" ht="101.5" x14ac:dyDescent="0.35">
      <c r="B11" s="49" t="s">
        <v>118</v>
      </c>
      <c r="C11" s="49" t="s">
        <v>119</v>
      </c>
      <c r="D11" s="49" t="s">
        <v>120</v>
      </c>
      <c r="E11" s="50" t="str">
        <f>IF(ProductList[[#This Row],[Product Cost 1K]]&lt;&gt;"", $D$2*ProductList[[#This Row],[Product Cost 1K]]/100 + ProductList[[#This Row],[Product Cost 1K]],"")</f>
        <v/>
      </c>
      <c r="F11" s="50" t="str">
        <f>IF(ProductList[[#This Row],[Product Cost 5K]]&lt;&gt;"", $D$2*ProductList[[#This Row],[Product Cost 5K]]/100 + ProductList[[#This Row],[Product Cost 5K]],"")</f>
        <v/>
      </c>
      <c r="G11" s="50" t="str">
        <f>IF(ProductList[[#This Row],[Product Cost 10K]]&lt;&gt;"", $D$2*ProductList[[#This Row],[Product Cost 10K]]/100 + ProductList[[#This Row],[Product Cost 10K]],"")</f>
        <v/>
      </c>
      <c r="H11" s="50" t="str">
        <f>IF(ProductList[[#This Row],[Product Cost 100K]]&lt;&gt;"", $D$2*ProductList[[#This Row],[Product Cost 100K]]/100 + ProductList[[#This Row],[Product Cost 100K]],"")</f>
        <v/>
      </c>
      <c r="I11" s="50"/>
      <c r="J11" s="50"/>
      <c r="K11" s="50"/>
      <c r="L11" s="50"/>
      <c r="M11" s="53" t="s">
        <v>215</v>
      </c>
      <c r="N11" s="49" t="s">
        <v>53</v>
      </c>
      <c r="O11" s="49" t="s">
        <v>54</v>
      </c>
      <c r="P11" s="49" t="s">
        <v>186</v>
      </c>
      <c r="Q11" s="55">
        <v>4.5</v>
      </c>
      <c r="R11" s="55">
        <v>4.42</v>
      </c>
      <c r="S11" s="55">
        <v>4.28</v>
      </c>
      <c r="T11"/>
    </row>
    <row r="12" spans="2:20" ht="101.5" x14ac:dyDescent="0.35">
      <c r="B12" s="49" t="s">
        <v>104</v>
      </c>
      <c r="C12" s="49" t="s">
        <v>107</v>
      </c>
      <c r="D12" s="49" t="s">
        <v>111</v>
      </c>
      <c r="E12" s="50" t="str">
        <f>IF(ProductList[[#This Row],[Product Cost 1K]]&lt;&gt;"", $D$2*ProductList[[#This Row],[Product Cost 1K]]/100 + ProductList[[#This Row],[Product Cost 1K]],"")</f>
        <v/>
      </c>
      <c r="F12" s="50" t="str">
        <f>IF(ProductList[[#This Row],[Product Cost 5K]]&lt;&gt;"", $D$2*ProductList[[#This Row],[Product Cost 5K]]/100 + ProductList[[#This Row],[Product Cost 5K]],"")</f>
        <v/>
      </c>
      <c r="G12" s="50" t="str">
        <f>IF(ProductList[[#This Row],[Product Cost 10K]]&lt;&gt;"", $D$2*ProductList[[#This Row],[Product Cost 10K]]/100 + ProductList[[#This Row],[Product Cost 10K]],"")</f>
        <v/>
      </c>
      <c r="H12" s="50" t="str">
        <f>IF(ProductList[[#This Row],[Product Cost 100K]]&lt;&gt;"", $D$2*ProductList[[#This Row],[Product Cost 100K]]/100 + ProductList[[#This Row],[Product Cost 100K]],"")</f>
        <v/>
      </c>
      <c r="I12" s="50"/>
      <c r="J12" s="50"/>
      <c r="K12" s="50"/>
      <c r="L12" s="50"/>
      <c r="M12" s="53" t="s">
        <v>216</v>
      </c>
      <c r="N12" s="49" t="s">
        <v>53</v>
      </c>
      <c r="O12" s="49" t="s">
        <v>54</v>
      </c>
      <c r="P12" s="49" t="s">
        <v>187</v>
      </c>
      <c r="Q12" s="55"/>
      <c r="R12" s="55"/>
      <c r="S12" s="55"/>
      <c r="T12"/>
    </row>
    <row r="13" spans="2:20" ht="101.5" x14ac:dyDescent="0.35">
      <c r="B13" s="49" t="s">
        <v>105</v>
      </c>
      <c r="C13" s="49" t="s">
        <v>108</v>
      </c>
      <c r="D13" s="49" t="s">
        <v>112</v>
      </c>
      <c r="E13" s="50" t="str">
        <f>IF(ProductList[[#This Row],[Product Cost 1K]]&lt;&gt;"", $D$2*ProductList[[#This Row],[Product Cost 1K]]/100 + ProductList[[#This Row],[Product Cost 1K]],"")</f>
        <v/>
      </c>
      <c r="F13" s="50" t="str">
        <f>IF(ProductList[[#This Row],[Product Cost 5K]]&lt;&gt;"", $D$2*ProductList[[#This Row],[Product Cost 5K]]/100 + ProductList[[#This Row],[Product Cost 5K]],"")</f>
        <v/>
      </c>
      <c r="G13" s="50" t="str">
        <f>IF(ProductList[[#This Row],[Product Cost 10K]]&lt;&gt;"", $D$2*ProductList[[#This Row],[Product Cost 10K]]/100 + ProductList[[#This Row],[Product Cost 10K]],"")</f>
        <v/>
      </c>
      <c r="H13" s="50" t="str">
        <f>IF(ProductList[[#This Row],[Product Cost 100K]]&lt;&gt;"", $D$2*ProductList[[#This Row],[Product Cost 100K]]/100 + ProductList[[#This Row],[Product Cost 100K]],"")</f>
        <v/>
      </c>
      <c r="I13" s="50"/>
      <c r="J13" s="50"/>
      <c r="K13" s="50"/>
      <c r="L13" s="50"/>
      <c r="M13" s="53" t="s">
        <v>217</v>
      </c>
      <c r="N13" s="49" t="s">
        <v>53</v>
      </c>
      <c r="O13" s="49" t="s">
        <v>54</v>
      </c>
      <c r="P13" s="49" t="s">
        <v>188</v>
      </c>
      <c r="Q13" s="55"/>
      <c r="R13" s="55"/>
      <c r="S13" s="55"/>
      <c r="T13"/>
    </row>
    <row r="14" spans="2:20" ht="101.5" x14ac:dyDescent="0.35">
      <c r="B14" s="49" t="s">
        <v>106</v>
      </c>
      <c r="C14" s="49" t="s">
        <v>109</v>
      </c>
      <c r="D14" s="49" t="s">
        <v>110</v>
      </c>
      <c r="E14" s="50" t="str">
        <f>IF(ProductList[[#This Row],[Product Cost 1K]]&lt;&gt;"", $D$2*ProductList[[#This Row],[Product Cost 1K]]/100 + ProductList[[#This Row],[Product Cost 1K]],"")</f>
        <v/>
      </c>
      <c r="F14" s="50" t="str">
        <f>IF(ProductList[[#This Row],[Product Cost 5K]]&lt;&gt;"", $D$2*ProductList[[#This Row],[Product Cost 5K]]/100 + ProductList[[#This Row],[Product Cost 5K]],"")</f>
        <v/>
      </c>
      <c r="G14" s="50" t="str">
        <f>IF(ProductList[[#This Row],[Product Cost 10K]]&lt;&gt;"", $D$2*ProductList[[#This Row],[Product Cost 10K]]/100 + ProductList[[#This Row],[Product Cost 10K]],"")</f>
        <v/>
      </c>
      <c r="H14" s="50" t="str">
        <f>IF(ProductList[[#This Row],[Product Cost 100K]]&lt;&gt;"", $D$2*ProductList[[#This Row],[Product Cost 100K]]/100 + ProductList[[#This Row],[Product Cost 100K]],"")</f>
        <v/>
      </c>
      <c r="I14" s="50"/>
      <c r="J14" s="50"/>
      <c r="K14" s="50"/>
      <c r="L14" s="50"/>
      <c r="M14" s="53" t="s">
        <v>218</v>
      </c>
      <c r="N14" s="49" t="s">
        <v>53</v>
      </c>
      <c r="O14" s="49" t="s">
        <v>54</v>
      </c>
      <c r="P14" s="49" t="s">
        <v>189</v>
      </c>
      <c r="Q14" s="55"/>
      <c r="R14" s="55"/>
      <c r="S14" s="55"/>
      <c r="T14"/>
    </row>
    <row r="15" spans="2:20" ht="101.5" x14ac:dyDescent="0.35">
      <c r="B15" s="49" t="s">
        <v>88</v>
      </c>
      <c r="C15" s="49" t="s">
        <v>103</v>
      </c>
      <c r="D15" s="49" t="s">
        <v>113</v>
      </c>
      <c r="E15" s="50" t="str">
        <f>IF(ProductList[[#This Row],[Product Cost 1K]]&lt;&gt;"", $D$2*ProductList[[#This Row],[Product Cost 1K]]/100 + ProductList[[#This Row],[Product Cost 1K]],"")</f>
        <v/>
      </c>
      <c r="F15" s="50" t="str">
        <f>IF(ProductList[[#This Row],[Product Cost 5K]]&lt;&gt;"", $D$2*ProductList[[#This Row],[Product Cost 5K]]/100 + ProductList[[#This Row],[Product Cost 5K]],"")</f>
        <v/>
      </c>
      <c r="G15" s="50" t="str">
        <f>IF(ProductList[[#This Row],[Product Cost 10K]]&lt;&gt;"", $D$2*ProductList[[#This Row],[Product Cost 10K]]/100 + ProductList[[#This Row],[Product Cost 10K]],"")</f>
        <v/>
      </c>
      <c r="H15" s="50" t="str">
        <f>IF(ProductList[[#This Row],[Product Cost 100K]]&lt;&gt;"", $D$2*ProductList[[#This Row],[Product Cost 100K]]/100 + ProductList[[#This Row],[Product Cost 100K]],"")</f>
        <v/>
      </c>
      <c r="I15" s="50"/>
      <c r="J15" s="50"/>
      <c r="K15" s="50"/>
      <c r="L15" s="50"/>
      <c r="M15" s="53" t="s">
        <v>220</v>
      </c>
      <c r="N15" s="49" t="s">
        <v>53</v>
      </c>
      <c r="O15" s="49" t="s">
        <v>54</v>
      </c>
      <c r="P15" s="49" t="s">
        <v>190</v>
      </c>
      <c r="Q15" s="55"/>
      <c r="R15" s="55"/>
      <c r="S15" s="55"/>
      <c r="T15"/>
    </row>
    <row r="16" spans="2:20" ht="101.5" x14ac:dyDescent="0.35">
      <c r="B16" s="49" t="s">
        <v>89</v>
      </c>
      <c r="C16" s="49" t="s">
        <v>114</v>
      </c>
      <c r="D16" s="49" t="s">
        <v>115</v>
      </c>
      <c r="E16" s="50" t="str">
        <f>IF(ProductList[[#This Row],[Product Cost 1K]]&lt;&gt;"", $D$2*ProductList[[#This Row],[Product Cost 1K]]/100 + ProductList[[#This Row],[Product Cost 1K]],"")</f>
        <v/>
      </c>
      <c r="F16" s="50" t="str">
        <f>IF(ProductList[[#This Row],[Product Cost 5K]]&lt;&gt;"", $D$2*ProductList[[#This Row],[Product Cost 5K]]/100 + ProductList[[#This Row],[Product Cost 5K]],"")</f>
        <v/>
      </c>
      <c r="G16" s="50" t="str">
        <f>IF(ProductList[[#This Row],[Product Cost 10K]]&lt;&gt;"", $D$2*ProductList[[#This Row],[Product Cost 10K]]/100 + ProductList[[#This Row],[Product Cost 10K]],"")</f>
        <v/>
      </c>
      <c r="H16" s="50" t="str">
        <f>IF(ProductList[[#This Row],[Product Cost 100K]]&lt;&gt;"", $D$2*ProductList[[#This Row],[Product Cost 100K]]/100 + ProductList[[#This Row],[Product Cost 100K]],"")</f>
        <v/>
      </c>
      <c r="I16" s="50"/>
      <c r="J16" s="50"/>
      <c r="K16" s="50"/>
      <c r="L16" s="50"/>
      <c r="M16" s="53" t="s">
        <v>219</v>
      </c>
      <c r="N16" s="49" t="s">
        <v>53</v>
      </c>
      <c r="O16" s="49" t="s">
        <v>54</v>
      </c>
      <c r="P16" s="49" t="s">
        <v>191</v>
      </c>
      <c r="Q16" s="55"/>
      <c r="R16" s="55"/>
      <c r="S16" s="55"/>
      <c r="T16"/>
    </row>
    <row r="17" spans="2:20" ht="101.5" x14ac:dyDescent="0.35">
      <c r="B17" s="49" t="s">
        <v>90</v>
      </c>
      <c r="C17" s="49" t="s">
        <v>116</v>
      </c>
      <c r="D17" s="49" t="s">
        <v>117</v>
      </c>
      <c r="E17" s="50" t="str">
        <f>IF(ProductList[[#This Row],[Product Cost 1K]]&lt;&gt;"", $D$2*ProductList[[#This Row],[Product Cost 1K]]/100 + ProductList[[#This Row],[Product Cost 1K]],"")</f>
        <v/>
      </c>
      <c r="F17" s="50" t="str">
        <f>IF(ProductList[[#This Row],[Product Cost 5K]]&lt;&gt;"", $D$2*ProductList[[#This Row],[Product Cost 5K]]/100 + ProductList[[#This Row],[Product Cost 5K]],"")</f>
        <v/>
      </c>
      <c r="G17" s="50" t="str">
        <f>IF(ProductList[[#This Row],[Product Cost 10K]]&lt;&gt;"", $D$2*ProductList[[#This Row],[Product Cost 10K]]/100 + ProductList[[#This Row],[Product Cost 10K]],"")</f>
        <v/>
      </c>
      <c r="H17" s="50" t="str">
        <f>IF(ProductList[[#This Row],[Product Cost 100K]]&lt;&gt;"", $D$2*ProductList[[#This Row],[Product Cost 100K]]/100 + ProductList[[#This Row],[Product Cost 100K]],"")</f>
        <v/>
      </c>
      <c r="I17" s="50"/>
      <c r="J17" s="50"/>
      <c r="K17" s="50"/>
      <c r="L17" s="50"/>
      <c r="M17" s="53" t="s">
        <v>221</v>
      </c>
      <c r="N17" s="49" t="s">
        <v>53</v>
      </c>
      <c r="O17" s="49" t="s">
        <v>54</v>
      </c>
      <c r="P17" s="49" t="s">
        <v>192</v>
      </c>
      <c r="Q17" s="55"/>
      <c r="R17" s="55"/>
      <c r="S17" s="55"/>
      <c r="T17"/>
    </row>
    <row r="18" spans="2:20" ht="101.5" x14ac:dyDescent="0.35">
      <c r="B18" s="49" t="s">
        <v>121</v>
      </c>
      <c r="C18" s="49" t="s">
        <v>124</v>
      </c>
      <c r="D18" s="49" t="s">
        <v>125</v>
      </c>
      <c r="E18" s="50" t="str">
        <f>IF(ProductList[[#This Row],[Product Cost 1K]]&lt;&gt;"", $D$2*ProductList[[#This Row],[Product Cost 1K]]/100 + ProductList[[#This Row],[Product Cost 1K]],"")</f>
        <v/>
      </c>
      <c r="F18" s="50" t="str">
        <f>IF(ProductList[[#This Row],[Product Cost 5K]]&lt;&gt;"", $D$2*ProductList[[#This Row],[Product Cost 5K]]/100 + ProductList[[#This Row],[Product Cost 5K]],"")</f>
        <v/>
      </c>
      <c r="G18" s="50" t="str">
        <f>IF(ProductList[[#This Row],[Product Cost 10K]]&lt;&gt;"", $D$2*ProductList[[#This Row],[Product Cost 10K]]/100 + ProductList[[#This Row],[Product Cost 10K]],"")</f>
        <v/>
      </c>
      <c r="H18" s="50" t="str">
        <f>IF(ProductList[[#This Row],[Product Cost 100K]]&lt;&gt;"", $D$2*ProductList[[#This Row],[Product Cost 100K]]/100 + ProductList[[#This Row],[Product Cost 100K]],"")</f>
        <v/>
      </c>
      <c r="I18" s="50"/>
      <c r="J18" s="50"/>
      <c r="K18" s="50"/>
      <c r="L18" s="50"/>
      <c r="M18" s="53" t="s">
        <v>223</v>
      </c>
      <c r="N18" s="49" t="s">
        <v>53</v>
      </c>
      <c r="O18" s="49" t="s">
        <v>54</v>
      </c>
      <c r="P18" s="49" t="s">
        <v>193</v>
      </c>
      <c r="Q18" s="55"/>
      <c r="R18" s="55"/>
      <c r="S18" s="55"/>
      <c r="T18"/>
    </row>
    <row r="19" spans="2:20" ht="101.5" x14ac:dyDescent="0.35">
      <c r="B19" s="49" t="s">
        <v>122</v>
      </c>
      <c r="C19" s="49" t="s">
        <v>126</v>
      </c>
      <c r="D19" s="49" t="s">
        <v>127</v>
      </c>
      <c r="E19" s="50" t="str">
        <f>IF(ProductList[[#This Row],[Product Cost 1K]]&lt;&gt;"", $D$2*ProductList[[#This Row],[Product Cost 1K]]/100 + ProductList[[#This Row],[Product Cost 1K]],"")</f>
        <v/>
      </c>
      <c r="F19" s="50" t="str">
        <f>IF(ProductList[[#This Row],[Product Cost 5K]]&lt;&gt;"", $D$2*ProductList[[#This Row],[Product Cost 5K]]/100 + ProductList[[#This Row],[Product Cost 5K]],"")</f>
        <v/>
      </c>
      <c r="G19" s="50" t="str">
        <f>IF(ProductList[[#This Row],[Product Cost 10K]]&lt;&gt;"", $D$2*ProductList[[#This Row],[Product Cost 10K]]/100 + ProductList[[#This Row],[Product Cost 10K]],"")</f>
        <v/>
      </c>
      <c r="H19" s="50" t="str">
        <f>IF(ProductList[[#This Row],[Product Cost 100K]]&lt;&gt;"", $D$2*ProductList[[#This Row],[Product Cost 100K]]/100 + ProductList[[#This Row],[Product Cost 100K]],"")</f>
        <v/>
      </c>
      <c r="I19" s="50"/>
      <c r="J19" s="50"/>
      <c r="K19" s="50"/>
      <c r="L19" s="50"/>
      <c r="M19" s="53" t="s">
        <v>222</v>
      </c>
      <c r="N19" s="49" t="s">
        <v>53</v>
      </c>
      <c r="O19" s="49" t="s">
        <v>54</v>
      </c>
      <c r="P19" s="49" t="s">
        <v>194</v>
      </c>
      <c r="Q19" s="55"/>
      <c r="R19" s="55"/>
      <c r="S19" s="55"/>
      <c r="T19"/>
    </row>
    <row r="20" spans="2:20" ht="101.5" x14ac:dyDescent="0.35">
      <c r="B20" s="49" t="s">
        <v>123</v>
      </c>
      <c r="C20" s="49" t="s">
        <v>227</v>
      </c>
      <c r="D20" s="49" t="s">
        <v>228</v>
      </c>
      <c r="E20" s="50" t="str">
        <f>IF(ProductList[[#This Row],[Product Cost 1K]]&lt;&gt;"", $D$2*ProductList[[#This Row],[Product Cost 1K]]/100 + ProductList[[#This Row],[Product Cost 1K]],"")</f>
        <v/>
      </c>
      <c r="F20" s="50" t="str">
        <f>IF(ProductList[[#This Row],[Product Cost 5K]]&lt;&gt;"", $D$2*ProductList[[#This Row],[Product Cost 5K]]/100 + ProductList[[#This Row],[Product Cost 5K]],"")</f>
        <v/>
      </c>
      <c r="G20" s="50" t="str">
        <f>IF(ProductList[[#This Row],[Product Cost 10K]]&lt;&gt;"", $D$2*ProductList[[#This Row],[Product Cost 10K]]/100 + ProductList[[#This Row],[Product Cost 10K]],"")</f>
        <v/>
      </c>
      <c r="H20" s="50" t="str">
        <f>IF(ProductList[[#This Row],[Product Cost 100K]]&lt;&gt;"", $D$2*ProductList[[#This Row],[Product Cost 100K]]/100 + ProductList[[#This Row],[Product Cost 100K]],"")</f>
        <v/>
      </c>
      <c r="I20" s="50"/>
      <c r="J20" s="50"/>
      <c r="K20" s="50"/>
      <c r="L20" s="50"/>
      <c r="M20" s="53" t="s">
        <v>224</v>
      </c>
      <c r="N20" s="49" t="s">
        <v>53</v>
      </c>
      <c r="O20" s="49" t="s">
        <v>54</v>
      </c>
      <c r="P20" s="49" t="s">
        <v>195</v>
      </c>
      <c r="Q20" s="55"/>
      <c r="R20" s="55"/>
      <c r="S20" s="55"/>
      <c r="T20"/>
    </row>
    <row r="21" spans="2:20" ht="101.5" x14ac:dyDescent="0.35">
      <c r="B21" s="49" t="s">
        <v>132</v>
      </c>
      <c r="C21" s="49" t="s">
        <v>128</v>
      </c>
      <c r="D21" s="49" t="s">
        <v>129</v>
      </c>
      <c r="E21" s="50" t="str">
        <f>IF(ProductList[[#This Row],[Product Cost 1K]]&lt;&gt;"", $D$2*ProductList[[#This Row],[Product Cost 1K]]/100 + ProductList[[#This Row],[Product Cost 1K]],"")</f>
        <v/>
      </c>
      <c r="F21" s="50" t="str">
        <f>IF(ProductList[[#This Row],[Product Cost 5K]]&lt;&gt;"", $D$2*ProductList[[#This Row],[Product Cost 5K]]/100 + ProductList[[#This Row],[Product Cost 5K]],"")</f>
        <v/>
      </c>
      <c r="G21" s="50" t="str">
        <f>IF(ProductList[[#This Row],[Product Cost 10K]]&lt;&gt;"", $D$2*ProductList[[#This Row],[Product Cost 10K]]/100 + ProductList[[#This Row],[Product Cost 10K]],"")</f>
        <v/>
      </c>
      <c r="H21" s="50" t="str">
        <f>IF(ProductList[[#This Row],[Product Cost 100K]]&lt;&gt;"", $D$2*ProductList[[#This Row],[Product Cost 100K]]/100 + ProductList[[#This Row],[Product Cost 100K]],"")</f>
        <v/>
      </c>
      <c r="I21" s="50"/>
      <c r="J21" s="50"/>
      <c r="K21" s="50"/>
      <c r="L21" s="50"/>
      <c r="M21" s="53" t="s">
        <v>178</v>
      </c>
      <c r="N21" s="49" t="s">
        <v>53</v>
      </c>
      <c r="O21" s="49" t="s">
        <v>54</v>
      </c>
      <c r="P21" s="49" t="s">
        <v>196</v>
      </c>
      <c r="Q21" s="55"/>
      <c r="R21" s="55"/>
      <c r="S21" s="55"/>
      <c r="T21"/>
    </row>
    <row r="22" spans="2:20" ht="101.5" x14ac:dyDescent="0.35">
      <c r="B22" s="49" t="s">
        <v>133</v>
      </c>
      <c r="C22" s="49" t="s">
        <v>130</v>
      </c>
      <c r="D22" s="49" t="s">
        <v>131</v>
      </c>
      <c r="E22" s="50" t="str">
        <f>IF(ProductList[[#This Row],[Product Cost 1K]]&lt;&gt;"", $D$2*ProductList[[#This Row],[Product Cost 1K]]/100 + ProductList[[#This Row],[Product Cost 1K]],"")</f>
        <v/>
      </c>
      <c r="F22" s="50" t="str">
        <f>IF(ProductList[[#This Row],[Product Cost 5K]]&lt;&gt;"", $D$2*ProductList[[#This Row],[Product Cost 5K]]/100 + ProductList[[#This Row],[Product Cost 5K]],"")</f>
        <v/>
      </c>
      <c r="G22" s="50" t="str">
        <f>IF(ProductList[[#This Row],[Product Cost 10K]]&lt;&gt;"", $D$2*ProductList[[#This Row],[Product Cost 10K]]/100 + ProductList[[#This Row],[Product Cost 10K]],"")</f>
        <v/>
      </c>
      <c r="H22" s="50" t="str">
        <f>IF(ProductList[[#This Row],[Product Cost 100K]]&lt;&gt;"", $D$2*ProductList[[#This Row],[Product Cost 100K]]/100 + ProductList[[#This Row],[Product Cost 100K]],"")</f>
        <v/>
      </c>
      <c r="I22" s="50"/>
      <c r="J22" s="50"/>
      <c r="K22" s="50"/>
      <c r="L22" s="50"/>
      <c r="M22" s="53" t="s">
        <v>177</v>
      </c>
      <c r="N22" s="49" t="s">
        <v>53</v>
      </c>
      <c r="O22" s="49" t="s">
        <v>54</v>
      </c>
      <c r="P22" s="49" t="s">
        <v>197</v>
      </c>
      <c r="Q22" s="55"/>
      <c r="R22" s="55"/>
      <c r="S22" s="55"/>
      <c r="T22"/>
    </row>
    <row r="23" spans="2:20" ht="101.5" x14ac:dyDescent="0.35">
      <c r="B23" s="49" t="s">
        <v>134</v>
      </c>
      <c r="C23" s="49" t="s">
        <v>229</v>
      </c>
      <c r="D23" s="49" t="s">
        <v>230</v>
      </c>
      <c r="E23" s="50" t="str">
        <f>IF(ProductList[[#This Row],[Product Cost 1K]]&lt;&gt;"", $D$2*ProductList[[#This Row],[Product Cost 1K]]/100 + ProductList[[#This Row],[Product Cost 1K]],"")</f>
        <v/>
      </c>
      <c r="F23" s="50" t="str">
        <f>IF(ProductList[[#This Row],[Product Cost 5K]]&lt;&gt;"", $D$2*ProductList[[#This Row],[Product Cost 5K]]/100 + ProductList[[#This Row],[Product Cost 5K]],"")</f>
        <v/>
      </c>
      <c r="G23" s="50" t="str">
        <f>IF(ProductList[[#This Row],[Product Cost 10K]]&lt;&gt;"", $D$2*ProductList[[#This Row],[Product Cost 10K]]/100 + ProductList[[#This Row],[Product Cost 10K]],"")</f>
        <v/>
      </c>
      <c r="H23" s="50" t="str">
        <f>IF(ProductList[[#This Row],[Product Cost 100K]]&lt;&gt;"", $D$2*ProductList[[#This Row],[Product Cost 100K]]/100 + ProductList[[#This Row],[Product Cost 100K]],"")</f>
        <v/>
      </c>
      <c r="I23" s="50"/>
      <c r="J23" s="50"/>
      <c r="K23" s="50"/>
      <c r="L23" s="50"/>
      <c r="M23" s="53" t="s">
        <v>176</v>
      </c>
      <c r="N23" s="49" t="s">
        <v>53</v>
      </c>
      <c r="O23" s="49" t="s">
        <v>54</v>
      </c>
      <c r="P23" s="49" t="s">
        <v>198</v>
      </c>
      <c r="Q23" s="55"/>
      <c r="R23" s="55"/>
      <c r="S23" s="55"/>
      <c r="T23"/>
    </row>
    <row r="24" spans="2:20" ht="101.5" x14ac:dyDescent="0.35">
      <c r="B24" s="49" t="s">
        <v>91</v>
      </c>
      <c r="C24" s="49" t="s">
        <v>136</v>
      </c>
      <c r="D24" s="49" t="s">
        <v>137</v>
      </c>
      <c r="E24" s="50" t="str">
        <f>IF(ProductList[[#This Row],[Product Cost 1K]]&lt;&gt;"", $D$2*ProductList[[#This Row],[Product Cost 1K]]/100 + ProductList[[#This Row],[Product Cost 1K]],"")</f>
        <v/>
      </c>
      <c r="F24" s="50" t="str">
        <f>IF(ProductList[[#This Row],[Product Cost 5K]]&lt;&gt;"", $D$2*ProductList[[#This Row],[Product Cost 5K]]/100 + ProductList[[#This Row],[Product Cost 5K]],"")</f>
        <v/>
      </c>
      <c r="G24" s="50" t="str">
        <f>IF(ProductList[[#This Row],[Product Cost 10K]]&lt;&gt;"", $D$2*ProductList[[#This Row],[Product Cost 10K]]/100 + ProductList[[#This Row],[Product Cost 10K]],"")</f>
        <v/>
      </c>
      <c r="H24" s="50" t="str">
        <f>IF(ProductList[[#This Row],[Product Cost 100K]]&lt;&gt;"", $D$2*ProductList[[#This Row],[Product Cost 100K]]/100 + ProductList[[#This Row],[Product Cost 100K]],"")</f>
        <v/>
      </c>
      <c r="I24" s="50"/>
      <c r="J24" s="50"/>
      <c r="K24" s="50"/>
      <c r="L24" s="50"/>
      <c r="M24" s="53" t="s">
        <v>175</v>
      </c>
      <c r="N24" s="49" t="s">
        <v>53</v>
      </c>
      <c r="O24" s="49" t="s">
        <v>54</v>
      </c>
      <c r="P24" s="49" t="s">
        <v>199</v>
      </c>
      <c r="Q24" s="55"/>
      <c r="R24" s="55"/>
      <c r="S24" s="55"/>
      <c r="T24"/>
    </row>
    <row r="25" spans="2:20" ht="101.5" x14ac:dyDescent="0.35">
      <c r="B25" s="49" t="s">
        <v>92</v>
      </c>
      <c r="C25" s="49" t="s">
        <v>138</v>
      </c>
      <c r="D25" s="49" t="s">
        <v>139</v>
      </c>
      <c r="E25" s="50" t="str">
        <f>IF(ProductList[[#This Row],[Product Cost 1K]]&lt;&gt;"", $D$2*ProductList[[#This Row],[Product Cost 1K]]/100 + ProductList[[#This Row],[Product Cost 1K]],"")</f>
        <v/>
      </c>
      <c r="F25" s="50" t="str">
        <f>IF(ProductList[[#This Row],[Product Cost 5K]]&lt;&gt;"", $D$2*ProductList[[#This Row],[Product Cost 5K]]/100 + ProductList[[#This Row],[Product Cost 5K]],"")</f>
        <v/>
      </c>
      <c r="G25" s="50" t="str">
        <f>IF(ProductList[[#This Row],[Product Cost 10K]]&lt;&gt;"", $D$2*ProductList[[#This Row],[Product Cost 10K]]/100 + ProductList[[#This Row],[Product Cost 10K]],"")</f>
        <v/>
      </c>
      <c r="H25" s="50" t="str">
        <f>IF(ProductList[[#This Row],[Product Cost 100K]]&lt;&gt;"", $D$2*ProductList[[#This Row],[Product Cost 100K]]/100 + ProductList[[#This Row],[Product Cost 100K]],"")</f>
        <v/>
      </c>
      <c r="I25" s="50"/>
      <c r="J25" s="50"/>
      <c r="K25" s="50"/>
      <c r="L25" s="50"/>
      <c r="M25" s="53" t="s">
        <v>174</v>
      </c>
      <c r="N25" s="49" t="s">
        <v>53</v>
      </c>
      <c r="O25" s="49" t="s">
        <v>54</v>
      </c>
      <c r="P25" s="49" t="s">
        <v>200</v>
      </c>
      <c r="Q25" s="55"/>
      <c r="R25" s="55"/>
      <c r="S25" s="55"/>
      <c r="T25"/>
    </row>
    <row r="26" spans="2:20" ht="101.5" x14ac:dyDescent="0.35">
      <c r="B26" s="49" t="s">
        <v>135</v>
      </c>
      <c r="C26" s="49" t="s">
        <v>231</v>
      </c>
      <c r="D26" s="49" t="s">
        <v>232</v>
      </c>
      <c r="E26" s="50" t="str">
        <f>IF(ProductList[[#This Row],[Product Cost 1K]]&lt;&gt;"", $D$2*ProductList[[#This Row],[Product Cost 1K]]/100 + ProductList[[#This Row],[Product Cost 1K]],"")</f>
        <v/>
      </c>
      <c r="F26" s="50" t="str">
        <f>IF(ProductList[[#This Row],[Product Cost 5K]]&lt;&gt;"", $D$2*ProductList[[#This Row],[Product Cost 5K]]/100 + ProductList[[#This Row],[Product Cost 5K]],"")</f>
        <v/>
      </c>
      <c r="G26" s="50" t="str">
        <f>IF(ProductList[[#This Row],[Product Cost 10K]]&lt;&gt;"", $D$2*ProductList[[#This Row],[Product Cost 10K]]/100 + ProductList[[#This Row],[Product Cost 10K]],"")</f>
        <v/>
      </c>
      <c r="H26" s="50" t="str">
        <f>IF(ProductList[[#This Row],[Product Cost 100K]]&lt;&gt;"", $D$2*ProductList[[#This Row],[Product Cost 100K]]/100 + ProductList[[#This Row],[Product Cost 100K]],"")</f>
        <v/>
      </c>
      <c r="I26" s="50"/>
      <c r="J26" s="50"/>
      <c r="K26" s="50"/>
      <c r="L26" s="50"/>
      <c r="M26" s="53" t="s">
        <v>173</v>
      </c>
      <c r="N26" s="49" t="s">
        <v>53</v>
      </c>
      <c r="O26" s="49" t="s">
        <v>54</v>
      </c>
      <c r="P26" s="49" t="s">
        <v>201</v>
      </c>
      <c r="Q26" s="55"/>
      <c r="R26" s="55"/>
      <c r="S26" s="55"/>
      <c r="T26"/>
    </row>
    <row r="27" spans="2:20" ht="101.5" x14ac:dyDescent="0.35">
      <c r="B27" s="49" t="s">
        <v>144</v>
      </c>
      <c r="C27" s="49" t="s">
        <v>140</v>
      </c>
      <c r="D27" s="49" t="s">
        <v>141</v>
      </c>
      <c r="E27" s="50" t="str">
        <f>IF(ProductList[[#This Row],[Product Cost 1K]]&lt;&gt;"", $D$2*ProductList[[#This Row],[Product Cost 1K]]/100 + ProductList[[#This Row],[Product Cost 1K]],"")</f>
        <v/>
      </c>
      <c r="F27" s="50" t="str">
        <f>IF(ProductList[[#This Row],[Product Cost 5K]]&lt;&gt;"", $D$2*ProductList[[#This Row],[Product Cost 5K]]/100 + ProductList[[#This Row],[Product Cost 5K]],"")</f>
        <v/>
      </c>
      <c r="G27" s="50" t="str">
        <f>IF(ProductList[[#This Row],[Product Cost 10K]]&lt;&gt;"", $D$2*ProductList[[#This Row],[Product Cost 10K]]/100 + ProductList[[#This Row],[Product Cost 10K]],"")</f>
        <v/>
      </c>
      <c r="H27" s="50" t="str">
        <f>IF(ProductList[[#This Row],[Product Cost 100K]]&lt;&gt;"", $D$2*ProductList[[#This Row],[Product Cost 100K]]/100 + ProductList[[#This Row],[Product Cost 100K]],"")</f>
        <v/>
      </c>
      <c r="I27" s="50"/>
      <c r="J27" s="50"/>
      <c r="K27" s="50"/>
      <c r="L27" s="50"/>
      <c r="M27" s="53" t="s">
        <v>172</v>
      </c>
      <c r="N27" s="49" t="s">
        <v>53</v>
      </c>
      <c r="O27" s="49" t="s">
        <v>54</v>
      </c>
      <c r="P27" s="49" t="s">
        <v>202</v>
      </c>
      <c r="Q27" s="55"/>
      <c r="R27" s="55"/>
      <c r="S27" s="55"/>
      <c r="T27"/>
    </row>
    <row r="28" spans="2:20" ht="101.5" x14ac:dyDescent="0.35">
      <c r="B28" s="49" t="s">
        <v>145</v>
      </c>
      <c r="C28" s="49" t="s">
        <v>142</v>
      </c>
      <c r="D28" s="49" t="s">
        <v>143</v>
      </c>
      <c r="E28" s="50" t="str">
        <f>IF(ProductList[[#This Row],[Product Cost 1K]]&lt;&gt;"", $D$2*ProductList[[#This Row],[Product Cost 1K]]/100 + ProductList[[#This Row],[Product Cost 1K]],"")</f>
        <v/>
      </c>
      <c r="F28" s="50" t="str">
        <f>IF(ProductList[[#This Row],[Product Cost 5K]]&lt;&gt;"", $D$2*ProductList[[#This Row],[Product Cost 5K]]/100 + ProductList[[#This Row],[Product Cost 5K]],"")</f>
        <v/>
      </c>
      <c r="G28" s="50" t="str">
        <f>IF(ProductList[[#This Row],[Product Cost 10K]]&lt;&gt;"", $D$2*ProductList[[#This Row],[Product Cost 10K]]/100 + ProductList[[#This Row],[Product Cost 10K]],"")</f>
        <v/>
      </c>
      <c r="H28" s="50" t="str">
        <f>IF(ProductList[[#This Row],[Product Cost 100K]]&lt;&gt;"", $D$2*ProductList[[#This Row],[Product Cost 100K]]/100 + ProductList[[#This Row],[Product Cost 100K]],"")</f>
        <v/>
      </c>
      <c r="I28" s="50"/>
      <c r="J28" s="50"/>
      <c r="K28" s="50"/>
      <c r="L28" s="50"/>
      <c r="M28" s="53" t="s">
        <v>171</v>
      </c>
      <c r="N28" s="49" t="s">
        <v>53</v>
      </c>
      <c r="O28" s="49" t="s">
        <v>54</v>
      </c>
      <c r="P28" s="49" t="s">
        <v>203</v>
      </c>
      <c r="Q28" s="55"/>
      <c r="R28" s="55"/>
      <c r="S28" s="55"/>
      <c r="T28"/>
    </row>
    <row r="29" spans="2:20" ht="101.5" x14ac:dyDescent="0.35">
      <c r="B29" s="49" t="s">
        <v>146</v>
      </c>
      <c r="C29" s="49" t="s">
        <v>233</v>
      </c>
      <c r="D29" s="49" t="s">
        <v>234</v>
      </c>
      <c r="E29" s="50" t="str">
        <f>IF(ProductList[[#This Row],[Product Cost 1K]]&lt;&gt;"", $D$2*ProductList[[#This Row],[Product Cost 1K]]/100 + ProductList[[#This Row],[Product Cost 1K]],"")</f>
        <v/>
      </c>
      <c r="F29" s="50" t="str">
        <f>IF(ProductList[[#This Row],[Product Cost 5K]]&lt;&gt;"", $D$2*ProductList[[#This Row],[Product Cost 5K]]/100 + ProductList[[#This Row],[Product Cost 5K]],"")</f>
        <v/>
      </c>
      <c r="G29" s="50" t="str">
        <f>IF(ProductList[[#This Row],[Product Cost 10K]]&lt;&gt;"", $D$2*ProductList[[#This Row],[Product Cost 10K]]/100 + ProductList[[#This Row],[Product Cost 10K]],"")</f>
        <v/>
      </c>
      <c r="H29" s="50" t="str">
        <f>IF(ProductList[[#This Row],[Product Cost 100K]]&lt;&gt;"", $D$2*ProductList[[#This Row],[Product Cost 100K]]/100 + ProductList[[#This Row],[Product Cost 100K]],"")</f>
        <v/>
      </c>
      <c r="I29" s="50"/>
      <c r="J29" s="50"/>
      <c r="K29" s="50"/>
      <c r="L29" s="50"/>
      <c r="M29" s="53" t="s">
        <v>170</v>
      </c>
      <c r="N29" s="49" t="s">
        <v>53</v>
      </c>
      <c r="O29" s="49" t="s">
        <v>54</v>
      </c>
      <c r="P29" s="49" t="s">
        <v>204</v>
      </c>
      <c r="Q29" s="55"/>
      <c r="R29" s="55"/>
      <c r="S29" s="55"/>
      <c r="T29"/>
    </row>
    <row r="30" spans="2:20" ht="101.5" x14ac:dyDescent="0.35">
      <c r="B30" s="49" t="s">
        <v>93</v>
      </c>
      <c r="C30" s="49" t="s">
        <v>149</v>
      </c>
      <c r="D30" s="49" t="s">
        <v>150</v>
      </c>
      <c r="E30" s="50" t="str">
        <f>IF(ProductList[[#This Row],[Product Cost 1K]]&lt;&gt;"", $D$2*ProductList[[#This Row],[Product Cost 1K]]/100 + ProductList[[#This Row],[Product Cost 1K]],"")</f>
        <v/>
      </c>
      <c r="F30" s="50" t="str">
        <f>IF(ProductList[[#This Row],[Product Cost 5K]]&lt;&gt;"", $D$2*ProductList[[#This Row],[Product Cost 5K]]/100 + ProductList[[#This Row],[Product Cost 5K]],"")</f>
        <v/>
      </c>
      <c r="G30" s="50" t="str">
        <f>IF(ProductList[[#This Row],[Product Cost 10K]]&lt;&gt;"", $D$2*ProductList[[#This Row],[Product Cost 10K]]/100 + ProductList[[#This Row],[Product Cost 10K]],"")</f>
        <v/>
      </c>
      <c r="H30" s="50" t="str">
        <f>IF(ProductList[[#This Row],[Product Cost 100K]]&lt;&gt;"", $D$2*ProductList[[#This Row],[Product Cost 100K]]/100 + ProductList[[#This Row],[Product Cost 100K]],"")</f>
        <v/>
      </c>
      <c r="I30" s="50"/>
      <c r="J30" s="50"/>
      <c r="K30" s="50"/>
      <c r="L30" s="50"/>
      <c r="M30" s="53" t="s">
        <v>169</v>
      </c>
      <c r="N30" s="49" t="s">
        <v>53</v>
      </c>
      <c r="O30" s="49" t="s">
        <v>54</v>
      </c>
      <c r="P30" s="49" t="s">
        <v>205</v>
      </c>
      <c r="Q30" s="55"/>
      <c r="R30" s="55"/>
      <c r="S30" s="55"/>
      <c r="T30"/>
    </row>
    <row r="31" spans="2:20" ht="101.5" x14ac:dyDescent="0.35">
      <c r="B31" s="49" t="s">
        <v>147</v>
      </c>
      <c r="C31" s="49" t="s">
        <v>151</v>
      </c>
      <c r="D31" s="49" t="s">
        <v>152</v>
      </c>
      <c r="E31" s="50" t="str">
        <f>IF(ProductList[[#This Row],[Product Cost 1K]]&lt;&gt;"", $D$2*ProductList[[#This Row],[Product Cost 1K]]/100 + ProductList[[#This Row],[Product Cost 1K]],"")</f>
        <v/>
      </c>
      <c r="F31" s="50" t="str">
        <f>IF(ProductList[[#This Row],[Product Cost 5K]]&lt;&gt;"", $D$2*ProductList[[#This Row],[Product Cost 5K]]/100 + ProductList[[#This Row],[Product Cost 5K]],"")</f>
        <v/>
      </c>
      <c r="G31" s="50" t="str">
        <f>IF(ProductList[[#This Row],[Product Cost 10K]]&lt;&gt;"", $D$2*ProductList[[#This Row],[Product Cost 10K]]/100 + ProductList[[#This Row],[Product Cost 10K]],"")</f>
        <v/>
      </c>
      <c r="H31" s="50" t="str">
        <f>IF(ProductList[[#This Row],[Product Cost 100K]]&lt;&gt;"", $D$2*ProductList[[#This Row],[Product Cost 100K]]/100 + ProductList[[#This Row],[Product Cost 100K]],"")</f>
        <v/>
      </c>
      <c r="I31" s="50"/>
      <c r="J31" s="50"/>
      <c r="K31" s="50"/>
      <c r="L31" s="50"/>
      <c r="M31" s="53" t="s">
        <v>167</v>
      </c>
      <c r="N31" s="49" t="s">
        <v>53</v>
      </c>
      <c r="O31" s="49" t="s">
        <v>54</v>
      </c>
      <c r="P31" s="49" t="s">
        <v>206</v>
      </c>
      <c r="Q31" s="55"/>
      <c r="R31" s="55"/>
      <c r="S31" s="55"/>
      <c r="T31"/>
    </row>
    <row r="32" spans="2:20" ht="101.5" x14ac:dyDescent="0.35">
      <c r="B32" s="49" t="s">
        <v>148</v>
      </c>
      <c r="C32" s="49" t="s">
        <v>235</v>
      </c>
      <c r="D32" s="49" t="s">
        <v>236</v>
      </c>
      <c r="E32" s="50" t="str">
        <f>IF(ProductList[[#This Row],[Product Cost 1K]]&lt;&gt;"", $D$2*ProductList[[#This Row],[Product Cost 1K]]/100 + ProductList[[#This Row],[Product Cost 1K]],"")</f>
        <v/>
      </c>
      <c r="F32" s="50" t="str">
        <f>IF(ProductList[[#This Row],[Product Cost 5K]]&lt;&gt;"", $D$2*ProductList[[#This Row],[Product Cost 5K]]/100 + ProductList[[#This Row],[Product Cost 5K]],"")</f>
        <v/>
      </c>
      <c r="G32" s="50" t="str">
        <f>IF(ProductList[[#This Row],[Product Cost 10K]]&lt;&gt;"", $D$2*ProductList[[#This Row],[Product Cost 10K]]/100 + ProductList[[#This Row],[Product Cost 10K]],"")</f>
        <v/>
      </c>
      <c r="H32" s="50" t="str">
        <f>IF(ProductList[[#This Row],[Product Cost 100K]]&lt;&gt;"", $D$2*ProductList[[#This Row],[Product Cost 100K]]/100 + ProductList[[#This Row],[Product Cost 100K]],"")</f>
        <v/>
      </c>
      <c r="I32" s="50"/>
      <c r="J32" s="50"/>
      <c r="K32" s="50"/>
      <c r="L32" s="50"/>
      <c r="M32" s="53" t="s">
        <v>168</v>
      </c>
      <c r="N32" s="49" t="s">
        <v>53</v>
      </c>
      <c r="O32" s="49" t="s">
        <v>54</v>
      </c>
      <c r="P32" s="49" t="s">
        <v>207</v>
      </c>
      <c r="Q32" s="55"/>
      <c r="R32" s="55"/>
      <c r="S32" s="55"/>
      <c r="T32"/>
    </row>
    <row r="33" spans="2:20" ht="101.5" x14ac:dyDescent="0.35">
      <c r="B33" s="49" t="s">
        <v>157</v>
      </c>
      <c r="C33" s="49" t="s">
        <v>153</v>
      </c>
      <c r="D33" s="49" t="s">
        <v>154</v>
      </c>
      <c r="E33" s="50" t="str">
        <f>IF(ProductList[[#This Row],[Product Cost 1K]]&lt;&gt;"", $D$2*ProductList[[#This Row],[Product Cost 1K]]/100 + ProductList[[#This Row],[Product Cost 1K]],"")</f>
        <v/>
      </c>
      <c r="F33" s="50" t="str">
        <f>IF(ProductList[[#This Row],[Product Cost 5K]]&lt;&gt;"", $D$2*ProductList[[#This Row],[Product Cost 5K]]/100 + ProductList[[#This Row],[Product Cost 5K]],"")</f>
        <v/>
      </c>
      <c r="G33" s="50" t="str">
        <f>IF(ProductList[[#This Row],[Product Cost 10K]]&lt;&gt;"", $D$2*ProductList[[#This Row],[Product Cost 10K]]/100 + ProductList[[#This Row],[Product Cost 10K]],"")</f>
        <v/>
      </c>
      <c r="H33" s="50" t="str">
        <f>IF(ProductList[[#This Row],[Product Cost 100K]]&lt;&gt;"", $D$2*ProductList[[#This Row],[Product Cost 100K]]/100 + ProductList[[#This Row],[Product Cost 100K]],"")</f>
        <v/>
      </c>
      <c r="I33" s="50"/>
      <c r="J33" s="50"/>
      <c r="K33" s="50"/>
      <c r="L33" s="50"/>
      <c r="M33" s="53" t="s">
        <v>166</v>
      </c>
      <c r="N33" s="49" t="s">
        <v>53</v>
      </c>
      <c r="O33" s="49" t="s">
        <v>54</v>
      </c>
      <c r="P33" s="49" t="s">
        <v>208</v>
      </c>
      <c r="Q33" s="55"/>
      <c r="R33" s="55"/>
      <c r="S33" s="55"/>
      <c r="T33"/>
    </row>
    <row r="34" spans="2:20" ht="101.5" x14ac:dyDescent="0.35">
      <c r="B34" s="49" t="s">
        <v>158</v>
      </c>
      <c r="C34" s="49" t="s">
        <v>155</v>
      </c>
      <c r="D34" s="49" t="s">
        <v>156</v>
      </c>
      <c r="E34" s="50" t="str">
        <f>IF(ProductList[[#This Row],[Product Cost 1K]]&lt;&gt;"", $D$2*ProductList[[#This Row],[Product Cost 1K]]/100 + ProductList[[#This Row],[Product Cost 1K]],"")</f>
        <v/>
      </c>
      <c r="F34" s="50" t="str">
        <f>IF(ProductList[[#This Row],[Product Cost 5K]]&lt;&gt;"", $D$2*ProductList[[#This Row],[Product Cost 5K]]/100 + ProductList[[#This Row],[Product Cost 5K]],"")</f>
        <v/>
      </c>
      <c r="G34" s="50" t="str">
        <f>IF(ProductList[[#This Row],[Product Cost 10K]]&lt;&gt;"", $D$2*ProductList[[#This Row],[Product Cost 10K]]/100 + ProductList[[#This Row],[Product Cost 10K]],"")</f>
        <v/>
      </c>
      <c r="H34" s="50" t="str">
        <f>IF(ProductList[[#This Row],[Product Cost 100K]]&lt;&gt;"", $D$2*ProductList[[#This Row],[Product Cost 100K]]/100 + ProductList[[#This Row],[Product Cost 100K]],"")</f>
        <v/>
      </c>
      <c r="I34" s="50"/>
      <c r="J34" s="50"/>
      <c r="K34" s="50"/>
      <c r="L34" s="50"/>
      <c r="M34" s="53" t="s">
        <v>164</v>
      </c>
      <c r="N34" s="49" t="s">
        <v>53</v>
      </c>
      <c r="O34" s="49" t="s">
        <v>54</v>
      </c>
      <c r="P34" s="49" t="s">
        <v>209</v>
      </c>
      <c r="Q34" s="55"/>
      <c r="R34" s="55"/>
      <c r="S34" s="55"/>
      <c r="T34"/>
    </row>
    <row r="35" spans="2:20" ht="101.5" x14ac:dyDescent="0.35">
      <c r="B35" s="49" t="s">
        <v>159</v>
      </c>
      <c r="C35" s="49" t="s">
        <v>237</v>
      </c>
      <c r="D35" s="49" t="s">
        <v>238</v>
      </c>
      <c r="E35" s="50" t="str">
        <f>IF(ProductList[[#This Row],[Product Cost 1K]]&lt;&gt;"", $D$2*ProductList[[#This Row],[Product Cost 1K]]/100 + ProductList[[#This Row],[Product Cost 1K]],"")</f>
        <v/>
      </c>
      <c r="F35" s="50" t="str">
        <f>IF(ProductList[[#This Row],[Product Cost 5K]]&lt;&gt;"", $D$2*ProductList[[#This Row],[Product Cost 5K]]/100 + ProductList[[#This Row],[Product Cost 5K]],"")</f>
        <v/>
      </c>
      <c r="G35" s="50" t="str">
        <f>IF(ProductList[[#This Row],[Product Cost 10K]]&lt;&gt;"", $D$2*ProductList[[#This Row],[Product Cost 10K]]/100 + ProductList[[#This Row],[Product Cost 10K]],"")</f>
        <v/>
      </c>
      <c r="H35" s="50" t="str">
        <f>IF(ProductList[[#This Row],[Product Cost 100K]]&lt;&gt;"", $D$2*ProductList[[#This Row],[Product Cost 100K]]/100 + ProductList[[#This Row],[Product Cost 100K]],"")</f>
        <v/>
      </c>
      <c r="I35" s="50"/>
      <c r="J35" s="50"/>
      <c r="K35" s="50"/>
      <c r="L35" s="50"/>
      <c r="M35" s="53" t="s">
        <v>165</v>
      </c>
      <c r="N35" s="49" t="s">
        <v>53</v>
      </c>
      <c r="O35" s="49" t="s">
        <v>54</v>
      </c>
      <c r="P35" s="49" t="s">
        <v>210</v>
      </c>
      <c r="Q35" s="55"/>
      <c r="R35" s="55"/>
      <c r="S35" s="55"/>
      <c r="T35"/>
    </row>
    <row r="36" spans="2:20" ht="130.5" x14ac:dyDescent="0.35">
      <c r="B36" s="49" t="s">
        <v>162</v>
      </c>
      <c r="C36" s="49" t="s">
        <v>160</v>
      </c>
      <c r="D36" s="49" t="s">
        <v>161</v>
      </c>
      <c r="E36" s="50" t="str">
        <f>IF(ProductList[[#This Row],[Product Cost 1K]]&lt;&gt;"", $D$2*ProductList[[#This Row],[Product Cost 1K]]/100 + ProductList[[#This Row],[Product Cost 1K]],"")</f>
        <v/>
      </c>
      <c r="F36" s="50" t="str">
        <f>IF(ProductList[[#This Row],[Product Cost 5K]]&lt;&gt;"", $D$2*ProductList[[#This Row],[Product Cost 5K]]/100 + ProductList[[#This Row],[Product Cost 5K]],"")</f>
        <v/>
      </c>
      <c r="G36" s="50" t="str">
        <f>IF(ProductList[[#This Row],[Product Cost 10K]]&lt;&gt;"", $D$2*ProductList[[#This Row],[Product Cost 10K]]/100 + ProductList[[#This Row],[Product Cost 10K]],"")</f>
        <v/>
      </c>
      <c r="H36" s="50" t="str">
        <f>IF(ProductList[[#This Row],[Product Cost 100K]]&lt;&gt;"", $D$2*ProductList[[#This Row],[Product Cost 100K]]/100 + ProductList[[#This Row],[Product Cost 100K]],"")</f>
        <v/>
      </c>
      <c r="I36" s="50"/>
      <c r="J36" s="50"/>
      <c r="K36" s="50"/>
      <c r="L36" s="50"/>
      <c r="M36" s="54" t="s">
        <v>163</v>
      </c>
      <c r="N36" s="49" t="s">
        <v>53</v>
      </c>
      <c r="O36" s="49" t="s">
        <v>54</v>
      </c>
      <c r="P36" s="49" t="s">
        <v>211</v>
      </c>
      <c r="Q36" s="55">
        <v>121.52</v>
      </c>
      <c r="R36" s="55"/>
      <c r="S36" s="55"/>
      <c r="T36"/>
    </row>
    <row r="37" spans="2:20" x14ac:dyDescent="0.35">
      <c r="B37" s="49" t="s">
        <v>226</v>
      </c>
      <c r="C37" s="49"/>
      <c r="D37" s="49"/>
      <c r="E37" s="50" t="str">
        <f>IF(ProductList[[#This Row],[Product Cost 1K]]&lt;&gt;"", $D$2*ProductList[[#This Row],[Product Cost 1K]]/100 + ProductList[[#This Row],[Product Cost 1K]],"")</f>
        <v/>
      </c>
      <c r="F37" s="50" t="str">
        <f>IF(ProductList[[#This Row],[Product Cost 5K]]&lt;&gt;"", $D$2*ProductList[[#This Row],[Product Cost 5K]]/100 + ProductList[[#This Row],[Product Cost 5K]],"")</f>
        <v/>
      </c>
      <c r="G37" s="50" t="str">
        <f>IF(ProductList[[#This Row],[Product Cost 10K]]&lt;&gt;"", $D$2*ProductList[[#This Row],[Product Cost 10K]]/100 + ProductList[[#This Row],[Product Cost 10K]],"")</f>
        <v/>
      </c>
      <c r="H37" s="50" t="str">
        <f>IF(ProductList[[#This Row],[Product Cost 100K]]&lt;&gt;"", $D$2*ProductList[[#This Row],[Product Cost 100K]]/100 + ProductList[[#This Row],[Product Cost 100K]],"")</f>
        <v/>
      </c>
      <c r="I37" s="50"/>
      <c r="J37" s="50"/>
      <c r="K37" s="50"/>
      <c r="L37" s="50"/>
      <c r="M37" s="52"/>
      <c r="N37" s="49"/>
      <c r="O37" s="49"/>
      <c r="P37" s="49"/>
      <c r="Q37" s="55"/>
      <c r="R37" s="55"/>
      <c r="S37" s="55"/>
      <c r="T37"/>
    </row>
    <row r="38" spans="2:20" x14ac:dyDescent="0.35">
      <c r="B38" s="49"/>
      <c r="C38" s="49"/>
      <c r="D38" s="49"/>
      <c r="E38" s="50" t="str">
        <f>IF(ProductList[[#This Row],[Product Cost 1K]]&lt;&gt;"", $D$2*ProductList[[#This Row],[Product Cost 1K]]/100 + ProductList[[#This Row],[Product Cost 1K]],"")</f>
        <v/>
      </c>
      <c r="F38" s="50" t="str">
        <f>IF(ProductList[[#This Row],[Product Cost 5K]]&lt;&gt;"", $D$2*ProductList[[#This Row],[Product Cost 5K]]/100 + ProductList[[#This Row],[Product Cost 5K]],"")</f>
        <v/>
      </c>
      <c r="G38" s="50" t="str">
        <f>IF(ProductList[[#This Row],[Product Cost 10K]]&lt;&gt;"", $D$2*ProductList[[#This Row],[Product Cost 10K]]/100 + ProductList[[#This Row],[Product Cost 10K]],"")</f>
        <v/>
      </c>
      <c r="H38" s="50" t="str">
        <f>IF(ProductList[[#This Row],[Product Cost 100K]]&lt;&gt;"", $D$2*ProductList[[#This Row],[Product Cost 100K]]/100 + ProductList[[#This Row],[Product Cost 100K]],"")</f>
        <v/>
      </c>
      <c r="I38" s="50"/>
      <c r="J38" s="50"/>
      <c r="K38" s="50"/>
      <c r="L38" s="50"/>
      <c r="M38" s="52"/>
      <c r="N38" s="49"/>
      <c r="O38" s="49"/>
      <c r="P38" s="49"/>
      <c r="Q38" s="55"/>
      <c r="R38" s="55"/>
      <c r="S38" s="55"/>
      <c r="T38"/>
    </row>
    <row r="39" spans="2:20" x14ac:dyDescent="0.35">
      <c r="B39" s="49"/>
      <c r="C39" s="49"/>
      <c r="D39" s="49"/>
      <c r="E39" s="50" t="str">
        <f>IF(ProductList[[#This Row],[Product Cost 1K]]&lt;&gt;"", $D$2*ProductList[[#This Row],[Product Cost 1K]]/100 + ProductList[[#This Row],[Product Cost 1K]],"")</f>
        <v/>
      </c>
      <c r="F39" s="50" t="str">
        <f>IF(ProductList[[#This Row],[Product Cost 5K]]&lt;&gt;"", $D$2*ProductList[[#This Row],[Product Cost 5K]]/100 + ProductList[[#This Row],[Product Cost 5K]],"")</f>
        <v/>
      </c>
      <c r="G39" s="50" t="str">
        <f>IF(ProductList[[#This Row],[Product Cost 10K]]&lt;&gt;"", $D$2*ProductList[[#This Row],[Product Cost 10K]]/100 + ProductList[[#This Row],[Product Cost 10K]],"")</f>
        <v/>
      </c>
      <c r="H39" s="50" t="str">
        <f>IF(ProductList[[#This Row],[Product Cost 100K]]&lt;&gt;"", $D$2*ProductList[[#This Row],[Product Cost 100K]]/100 + ProductList[[#This Row],[Product Cost 100K]],"")</f>
        <v/>
      </c>
      <c r="I39" s="50"/>
      <c r="J39" s="50"/>
      <c r="K39" s="50"/>
      <c r="L39" s="50"/>
      <c r="M39" s="52"/>
      <c r="N39" s="49"/>
      <c r="O39" s="49"/>
      <c r="P39" s="49"/>
      <c r="Q39" s="55"/>
      <c r="R39" s="55"/>
      <c r="S39" s="55"/>
      <c r="T39"/>
    </row>
    <row r="40" spans="2:20" x14ac:dyDescent="0.35">
      <c r="B40" s="49"/>
      <c r="C40" s="49"/>
      <c r="D40" s="49"/>
      <c r="E40" s="50" t="str">
        <f>IF(ProductList[[#This Row],[Product Cost 1K]]&lt;&gt;"", $D$2*ProductList[[#This Row],[Product Cost 1K]]/100 + ProductList[[#This Row],[Product Cost 1K]],"")</f>
        <v/>
      </c>
      <c r="F40" s="50" t="str">
        <f>IF(ProductList[[#This Row],[Product Cost 5K]]&lt;&gt;"", $D$2*ProductList[[#This Row],[Product Cost 5K]]/100 + ProductList[[#This Row],[Product Cost 5K]],"")</f>
        <v/>
      </c>
      <c r="G40" s="50" t="str">
        <f>IF(ProductList[[#This Row],[Product Cost 10K]]&lt;&gt;"", $D$2*ProductList[[#This Row],[Product Cost 10K]]/100 + ProductList[[#This Row],[Product Cost 10K]],"")</f>
        <v/>
      </c>
      <c r="H40" s="50" t="str">
        <f>IF(ProductList[[#This Row],[Product Cost 100K]]&lt;&gt;"", $D$2*ProductList[[#This Row],[Product Cost 100K]]/100 + ProductList[[#This Row],[Product Cost 100K]],"")</f>
        <v/>
      </c>
      <c r="I40" s="50"/>
      <c r="J40" s="50"/>
      <c r="K40" s="50"/>
      <c r="L40" s="50"/>
      <c r="M40" s="52"/>
      <c r="N40" s="49"/>
      <c r="O40" s="49"/>
      <c r="P40" s="49"/>
      <c r="Q40" s="55"/>
      <c r="R40" s="55"/>
      <c r="S40" s="55"/>
      <c r="T40"/>
    </row>
    <row r="41" spans="2:20" x14ac:dyDescent="0.35">
      <c r="B41" s="49"/>
      <c r="C41" s="49"/>
      <c r="D41" s="49"/>
      <c r="E41" s="50" t="str">
        <f>IF(ProductList[[#This Row],[Product Cost 1K]]&lt;&gt;"", $D$2*ProductList[[#This Row],[Product Cost 1K]]/100 + ProductList[[#This Row],[Product Cost 1K]],"")</f>
        <v/>
      </c>
      <c r="F41" s="50" t="str">
        <f>IF(ProductList[[#This Row],[Product Cost 5K]]&lt;&gt;"", $D$2*ProductList[[#This Row],[Product Cost 5K]]/100 + ProductList[[#This Row],[Product Cost 5K]],"")</f>
        <v/>
      </c>
      <c r="G41" s="50" t="str">
        <f>IF(ProductList[[#This Row],[Product Cost 10K]]&lt;&gt;"", $D$2*ProductList[[#This Row],[Product Cost 10K]]/100 + ProductList[[#This Row],[Product Cost 10K]],"")</f>
        <v/>
      </c>
      <c r="H41" s="50" t="str">
        <f>IF(ProductList[[#This Row],[Product Cost 100K]]&lt;&gt;"", $D$2*ProductList[[#This Row],[Product Cost 100K]]/100 + ProductList[[#This Row],[Product Cost 100K]],"")</f>
        <v/>
      </c>
      <c r="I41" s="50"/>
      <c r="J41" s="50"/>
      <c r="K41" s="50"/>
      <c r="L41" s="50"/>
      <c r="M41" s="52"/>
      <c r="N41" s="49"/>
      <c r="O41" s="49"/>
      <c r="P41" s="49"/>
      <c r="Q41" s="55"/>
      <c r="R41" s="55"/>
      <c r="S41" s="55"/>
      <c r="T41"/>
    </row>
    <row r="42" spans="2:20" x14ac:dyDescent="0.35">
      <c r="B42" s="49"/>
      <c r="C42" s="49"/>
      <c r="D42" s="49"/>
      <c r="E42" s="50" t="str">
        <f>IF(ProductList[[#This Row],[Product Cost 1K]]&lt;&gt;"", $D$2*ProductList[[#This Row],[Product Cost 1K]]/100 + ProductList[[#This Row],[Product Cost 1K]],"")</f>
        <v/>
      </c>
      <c r="F42" s="50" t="str">
        <f>IF(ProductList[[#This Row],[Product Cost 5K]]&lt;&gt;"", $D$2*ProductList[[#This Row],[Product Cost 5K]]/100 + ProductList[[#This Row],[Product Cost 5K]],"")</f>
        <v/>
      </c>
      <c r="G42" s="50" t="str">
        <f>IF(ProductList[[#This Row],[Product Cost 10K]]&lt;&gt;"", $D$2*ProductList[[#This Row],[Product Cost 10K]]/100 + ProductList[[#This Row],[Product Cost 10K]],"")</f>
        <v/>
      </c>
      <c r="H42" s="50" t="str">
        <f>IF(ProductList[[#This Row],[Product Cost 100K]]&lt;&gt;"", $D$2*ProductList[[#This Row],[Product Cost 100K]]/100 + ProductList[[#This Row],[Product Cost 100K]],"")</f>
        <v/>
      </c>
      <c r="I42" s="50"/>
      <c r="J42" s="50"/>
      <c r="K42" s="50"/>
      <c r="L42" s="50"/>
      <c r="M42" s="52"/>
      <c r="N42" s="49"/>
      <c r="O42" s="49"/>
      <c r="P42" s="49"/>
      <c r="Q42" s="55"/>
      <c r="R42" s="55"/>
      <c r="S42" s="55"/>
      <c r="T42"/>
    </row>
    <row r="43" spans="2:20" x14ac:dyDescent="0.35">
      <c r="B43" s="49"/>
      <c r="C43" s="49"/>
      <c r="D43" s="49"/>
      <c r="E43" s="50" t="str">
        <f>IF(ProductList[[#This Row],[Product Cost 1K]]&lt;&gt;"", $D$2*ProductList[[#This Row],[Product Cost 1K]]/100 + ProductList[[#This Row],[Product Cost 1K]],"")</f>
        <v/>
      </c>
      <c r="F43" s="50" t="str">
        <f>IF(ProductList[[#This Row],[Product Cost 5K]]&lt;&gt;"", $D$2*ProductList[[#This Row],[Product Cost 5K]]/100 + ProductList[[#This Row],[Product Cost 5K]],"")</f>
        <v/>
      </c>
      <c r="G43" s="50" t="str">
        <f>IF(ProductList[[#This Row],[Product Cost 10K]]&lt;&gt;"", $D$2*ProductList[[#This Row],[Product Cost 10K]]/100 + ProductList[[#This Row],[Product Cost 10K]],"")</f>
        <v/>
      </c>
      <c r="H43" s="50" t="str">
        <f>IF(ProductList[[#This Row],[Product Cost 100K]]&lt;&gt;"", $D$2*ProductList[[#This Row],[Product Cost 100K]]/100 + ProductList[[#This Row],[Product Cost 100K]],"")</f>
        <v/>
      </c>
      <c r="I43" s="50"/>
      <c r="J43" s="50"/>
      <c r="K43" s="50"/>
      <c r="L43" s="50"/>
      <c r="M43" s="52"/>
      <c r="N43" s="49"/>
      <c r="O43" s="49"/>
      <c r="P43" s="49"/>
      <c r="Q43" s="55"/>
      <c r="R43" s="55"/>
      <c r="S43" s="55"/>
      <c r="T43"/>
    </row>
    <row r="44" spans="2:20" x14ac:dyDescent="0.35">
      <c r="B44" s="49"/>
      <c r="C44" s="49"/>
      <c r="D44" s="49"/>
      <c r="E44" s="50" t="str">
        <f>IF(ProductList[[#This Row],[Product Cost 1K]]&lt;&gt;"", $D$2*ProductList[[#This Row],[Product Cost 1K]]/100 + ProductList[[#This Row],[Product Cost 1K]],"")</f>
        <v/>
      </c>
      <c r="F44" s="50" t="str">
        <f>IF(ProductList[[#This Row],[Product Cost 5K]]&lt;&gt;"", $D$2*ProductList[[#This Row],[Product Cost 5K]]/100 + ProductList[[#This Row],[Product Cost 5K]],"")</f>
        <v/>
      </c>
      <c r="G44" s="50" t="str">
        <f>IF(ProductList[[#This Row],[Product Cost 10K]]&lt;&gt;"", $D$2*ProductList[[#This Row],[Product Cost 10K]]/100 + ProductList[[#This Row],[Product Cost 10K]],"")</f>
        <v/>
      </c>
      <c r="H44" s="50" t="str">
        <f>IF(ProductList[[#This Row],[Product Cost 100K]]&lt;&gt;"", $D$2*ProductList[[#This Row],[Product Cost 100K]]/100 + ProductList[[#This Row],[Product Cost 100K]],"")</f>
        <v/>
      </c>
      <c r="I44" s="50"/>
      <c r="J44" s="50"/>
      <c r="K44" s="50"/>
      <c r="L44" s="50"/>
      <c r="M44" s="52"/>
      <c r="N44" s="49"/>
      <c r="O44" s="49"/>
      <c r="P44" s="49"/>
      <c r="Q44" s="55"/>
      <c r="R44" s="55"/>
      <c r="S44" s="55"/>
      <c r="T44"/>
    </row>
    <row r="45" spans="2:20" x14ac:dyDescent="0.35">
      <c r="B45" s="49"/>
      <c r="C45" s="49"/>
      <c r="D45" s="49"/>
      <c r="E45" s="50" t="str">
        <f>IF(ProductList[[#This Row],[Product Cost 1K]]&lt;&gt;"", $D$2*ProductList[[#This Row],[Product Cost 1K]]/100 + ProductList[[#This Row],[Product Cost 1K]],"")</f>
        <v/>
      </c>
      <c r="F45" s="50" t="str">
        <f>IF(ProductList[[#This Row],[Product Cost 5K]]&lt;&gt;"", $D$2*ProductList[[#This Row],[Product Cost 5K]]/100 + ProductList[[#This Row],[Product Cost 5K]],"")</f>
        <v/>
      </c>
      <c r="G45" s="50" t="str">
        <f>IF(ProductList[[#This Row],[Product Cost 10K]]&lt;&gt;"", $D$2*ProductList[[#This Row],[Product Cost 10K]]/100 + ProductList[[#This Row],[Product Cost 10K]],"")</f>
        <v/>
      </c>
      <c r="H45" s="50" t="str">
        <f>IF(ProductList[[#This Row],[Product Cost 100K]]&lt;&gt;"", $D$2*ProductList[[#This Row],[Product Cost 100K]]/100 + ProductList[[#This Row],[Product Cost 100K]],"")</f>
        <v/>
      </c>
      <c r="I45" s="50"/>
      <c r="J45" s="50"/>
      <c r="K45" s="50"/>
      <c r="L45" s="50"/>
      <c r="M45" s="52"/>
      <c r="N45" s="49"/>
      <c r="O45" s="49"/>
      <c r="P45" s="49"/>
      <c r="Q45" s="55"/>
      <c r="R45" s="55"/>
      <c r="S45" s="55"/>
      <c r="T45"/>
    </row>
    <row r="46" spans="2:20" x14ac:dyDescent="0.35">
      <c r="B46" s="49"/>
      <c r="C46" s="49"/>
      <c r="D46" s="49"/>
      <c r="E46" s="50" t="str">
        <f>IF(ProductList[[#This Row],[Product Cost 1K]]&lt;&gt;"", $D$2*ProductList[[#This Row],[Product Cost 1K]]/100 + ProductList[[#This Row],[Product Cost 1K]],"")</f>
        <v/>
      </c>
      <c r="F46" s="50" t="str">
        <f>IF(ProductList[[#This Row],[Product Cost 5K]]&lt;&gt;"", $D$2*ProductList[[#This Row],[Product Cost 5K]]/100 + ProductList[[#This Row],[Product Cost 5K]],"")</f>
        <v/>
      </c>
      <c r="G46" s="50" t="str">
        <f>IF(ProductList[[#This Row],[Product Cost 10K]]&lt;&gt;"", $D$2*ProductList[[#This Row],[Product Cost 10K]]/100 + ProductList[[#This Row],[Product Cost 10K]],"")</f>
        <v/>
      </c>
      <c r="H46" s="50" t="str">
        <f>IF(ProductList[[#This Row],[Product Cost 100K]]&lt;&gt;"", $D$2*ProductList[[#This Row],[Product Cost 100K]]/100 + ProductList[[#This Row],[Product Cost 100K]],"")</f>
        <v/>
      </c>
      <c r="I46" s="50"/>
      <c r="J46" s="50"/>
      <c r="K46" s="50"/>
      <c r="L46" s="50"/>
      <c r="M46" s="52"/>
      <c r="N46" s="49"/>
      <c r="O46" s="49"/>
      <c r="P46" s="49"/>
      <c r="Q46" s="55"/>
      <c r="R46" s="55"/>
      <c r="S46" s="55"/>
      <c r="T46"/>
    </row>
    <row r="47" spans="2:20" x14ac:dyDescent="0.35">
      <c r="B47" s="49"/>
      <c r="C47" s="49"/>
      <c r="D47" s="49"/>
      <c r="E47" s="50" t="str">
        <f>IF(ProductList[[#This Row],[Product Cost 1K]]&lt;&gt;"", $D$2*ProductList[[#This Row],[Product Cost 1K]]/100 + ProductList[[#This Row],[Product Cost 1K]],"")</f>
        <v/>
      </c>
      <c r="F47" s="50" t="str">
        <f>IF(ProductList[[#This Row],[Product Cost 5K]]&lt;&gt;"", $D$2*ProductList[[#This Row],[Product Cost 5K]]/100 + ProductList[[#This Row],[Product Cost 5K]],"")</f>
        <v/>
      </c>
      <c r="G47" s="50" t="str">
        <f>IF(ProductList[[#This Row],[Product Cost 10K]]&lt;&gt;"", $D$2*ProductList[[#This Row],[Product Cost 10K]]/100 + ProductList[[#This Row],[Product Cost 10K]],"")</f>
        <v/>
      </c>
      <c r="H47" s="50" t="str">
        <f>IF(ProductList[[#This Row],[Product Cost 100K]]&lt;&gt;"", $D$2*ProductList[[#This Row],[Product Cost 100K]]/100 + ProductList[[#This Row],[Product Cost 100K]],"")</f>
        <v/>
      </c>
      <c r="I47" s="50"/>
      <c r="J47" s="50"/>
      <c r="K47" s="50"/>
      <c r="L47" s="50"/>
      <c r="M47" s="52"/>
      <c r="N47" s="49"/>
      <c r="O47" s="49"/>
      <c r="P47" s="49"/>
      <c r="Q47" s="55"/>
      <c r="R47" s="55"/>
      <c r="S47" s="55"/>
      <c r="T47"/>
    </row>
    <row r="48" spans="2:20" x14ac:dyDescent="0.35">
      <c r="B48" s="49"/>
      <c r="C48" s="49"/>
      <c r="D48" s="49"/>
      <c r="E48" s="50" t="str">
        <f>IF(ProductList[[#This Row],[Product Cost 1K]]&lt;&gt;"", $D$2*ProductList[[#This Row],[Product Cost 1K]]/100 + ProductList[[#This Row],[Product Cost 1K]],"")</f>
        <v/>
      </c>
      <c r="F48" s="50" t="str">
        <f>IF(ProductList[[#This Row],[Product Cost 5K]]&lt;&gt;"", $D$2*ProductList[[#This Row],[Product Cost 5K]]/100 + ProductList[[#This Row],[Product Cost 5K]],"")</f>
        <v/>
      </c>
      <c r="G48" s="50" t="str">
        <f>IF(ProductList[[#This Row],[Product Cost 10K]]&lt;&gt;"", $D$2*ProductList[[#This Row],[Product Cost 10K]]/100 + ProductList[[#This Row],[Product Cost 10K]],"")</f>
        <v/>
      </c>
      <c r="H48" s="50" t="str">
        <f>IF(ProductList[[#This Row],[Product Cost 100K]]&lt;&gt;"", $D$2*ProductList[[#This Row],[Product Cost 100K]]/100 + ProductList[[#This Row],[Product Cost 100K]],"")</f>
        <v/>
      </c>
      <c r="I48" s="50"/>
      <c r="J48" s="50"/>
      <c r="K48" s="50"/>
      <c r="L48" s="50"/>
      <c r="M48" s="52"/>
      <c r="N48" s="49"/>
      <c r="O48" s="49"/>
      <c r="P48" s="49"/>
      <c r="Q48" s="55"/>
      <c r="R48" s="55"/>
      <c r="S48" s="55"/>
      <c r="T48"/>
    </row>
    <row r="49" spans="2:20" x14ac:dyDescent="0.35">
      <c r="B49" s="49"/>
      <c r="C49" s="49"/>
      <c r="D49" s="49"/>
      <c r="E49" s="50" t="str">
        <f>IF(ProductList[[#This Row],[Product Cost 1K]]&lt;&gt;"", $D$2*ProductList[[#This Row],[Product Cost 1K]]/100 + ProductList[[#This Row],[Product Cost 1K]],"")</f>
        <v/>
      </c>
      <c r="F49" s="50" t="str">
        <f>IF(ProductList[[#This Row],[Product Cost 5K]]&lt;&gt;"", $D$2*ProductList[[#This Row],[Product Cost 5K]]/100 + ProductList[[#This Row],[Product Cost 5K]],"")</f>
        <v/>
      </c>
      <c r="G49" s="50" t="str">
        <f>IF(ProductList[[#This Row],[Product Cost 10K]]&lt;&gt;"", $D$2*ProductList[[#This Row],[Product Cost 10K]]/100 + ProductList[[#This Row],[Product Cost 10K]],"")</f>
        <v/>
      </c>
      <c r="H49" s="50" t="str">
        <f>IF(ProductList[[#This Row],[Product Cost 100K]]&lt;&gt;"", $D$2*ProductList[[#This Row],[Product Cost 100K]]/100 + ProductList[[#This Row],[Product Cost 100K]],"")</f>
        <v/>
      </c>
      <c r="I49" s="50"/>
      <c r="J49" s="50"/>
      <c r="K49" s="50"/>
      <c r="L49" s="50"/>
      <c r="M49" s="52"/>
      <c r="N49" s="49"/>
      <c r="O49" s="49"/>
      <c r="P49" s="49"/>
      <c r="Q49" s="55"/>
      <c r="R49" s="55"/>
      <c r="S49" s="55"/>
      <c r="T49"/>
    </row>
    <row r="50" spans="2:20" x14ac:dyDescent="0.35">
      <c r="B50" s="49"/>
      <c r="C50" s="49"/>
      <c r="D50" s="49"/>
      <c r="E50" s="50" t="str">
        <f>IF(ProductList[[#This Row],[Product Cost 1K]]&lt;&gt;"", $D$2*ProductList[[#This Row],[Product Cost 1K]]/100 + ProductList[[#This Row],[Product Cost 1K]],"")</f>
        <v/>
      </c>
      <c r="F50" s="50" t="str">
        <f>IF(ProductList[[#This Row],[Product Cost 5K]]&lt;&gt;"", $D$2*ProductList[[#This Row],[Product Cost 5K]]/100 + ProductList[[#This Row],[Product Cost 5K]],"")</f>
        <v/>
      </c>
      <c r="G50" s="50" t="str">
        <f>IF(ProductList[[#This Row],[Product Cost 10K]]&lt;&gt;"", $D$2*ProductList[[#This Row],[Product Cost 10K]]/100 + ProductList[[#This Row],[Product Cost 10K]],"")</f>
        <v/>
      </c>
      <c r="H50" s="50" t="str">
        <f>IF(ProductList[[#This Row],[Product Cost 100K]]&lt;&gt;"", $D$2*ProductList[[#This Row],[Product Cost 100K]]/100 + ProductList[[#This Row],[Product Cost 100K]],"")</f>
        <v/>
      </c>
      <c r="I50" s="50"/>
      <c r="J50" s="50"/>
      <c r="K50" s="50"/>
      <c r="L50" s="50"/>
      <c r="M50" s="52"/>
      <c r="N50" s="49"/>
      <c r="O50" s="49"/>
      <c r="P50" s="49"/>
      <c r="Q50" s="55"/>
      <c r="R50" s="55"/>
      <c r="S50" s="55"/>
      <c r="T50"/>
    </row>
    <row r="51" spans="2:20" x14ac:dyDescent="0.35">
      <c r="B51" s="49"/>
      <c r="C51" s="49"/>
      <c r="D51" s="49"/>
      <c r="E51" s="50" t="str">
        <f>IF(ProductList[[#This Row],[Product Cost 1K]]&lt;&gt;"", $D$2*ProductList[[#This Row],[Product Cost 1K]]/100 + ProductList[[#This Row],[Product Cost 1K]],"")</f>
        <v/>
      </c>
      <c r="F51" s="50" t="str">
        <f>IF(ProductList[[#This Row],[Product Cost 5K]]&lt;&gt;"", $D$2*ProductList[[#This Row],[Product Cost 5K]]/100 + ProductList[[#This Row],[Product Cost 5K]],"")</f>
        <v/>
      </c>
      <c r="G51" s="50" t="str">
        <f>IF(ProductList[[#This Row],[Product Cost 10K]]&lt;&gt;"", $D$2*ProductList[[#This Row],[Product Cost 10K]]/100 + ProductList[[#This Row],[Product Cost 10K]],"")</f>
        <v/>
      </c>
      <c r="H51" s="50" t="str">
        <f>IF(ProductList[[#This Row],[Product Cost 100K]]&lt;&gt;"", $D$2*ProductList[[#This Row],[Product Cost 100K]]/100 + ProductList[[#This Row],[Product Cost 100K]],"")</f>
        <v/>
      </c>
      <c r="I51" s="50"/>
      <c r="J51" s="50"/>
      <c r="K51" s="50"/>
      <c r="L51" s="50"/>
      <c r="M51" s="52"/>
      <c r="N51" s="49"/>
      <c r="O51" s="49"/>
      <c r="P51" s="49"/>
      <c r="Q51" s="55"/>
      <c r="R51" s="55"/>
      <c r="S51" s="55"/>
      <c r="T51"/>
    </row>
    <row r="52" spans="2:20" x14ac:dyDescent="0.35">
      <c r="B52" s="49"/>
      <c r="C52" s="49"/>
      <c r="D52" s="49"/>
      <c r="E52" s="50" t="str">
        <f>IF(ProductList[[#This Row],[Product Cost 1K]]&lt;&gt;"", $D$2*ProductList[[#This Row],[Product Cost 1K]]/100 + ProductList[[#This Row],[Product Cost 1K]],"")</f>
        <v/>
      </c>
      <c r="F52" s="50" t="str">
        <f>IF(ProductList[[#This Row],[Product Cost 5K]]&lt;&gt;"", $D$2*ProductList[[#This Row],[Product Cost 5K]]/100 + ProductList[[#This Row],[Product Cost 5K]],"")</f>
        <v/>
      </c>
      <c r="G52" s="50" t="str">
        <f>IF(ProductList[[#This Row],[Product Cost 10K]]&lt;&gt;"", $D$2*ProductList[[#This Row],[Product Cost 10K]]/100 + ProductList[[#This Row],[Product Cost 10K]],"")</f>
        <v/>
      </c>
      <c r="H52" s="50" t="str">
        <f>IF(ProductList[[#This Row],[Product Cost 100K]]&lt;&gt;"", $D$2*ProductList[[#This Row],[Product Cost 100K]]/100 + ProductList[[#This Row],[Product Cost 100K]],"")</f>
        <v/>
      </c>
      <c r="I52" s="50"/>
      <c r="J52" s="50"/>
      <c r="K52" s="50"/>
      <c r="L52" s="50"/>
      <c r="M52" s="52"/>
      <c r="N52" s="49"/>
      <c r="O52" s="49"/>
      <c r="P52" s="49"/>
      <c r="Q52" s="55"/>
      <c r="R52" s="55"/>
      <c r="S52" s="55"/>
      <c r="T52"/>
    </row>
    <row r="53" spans="2:20" x14ac:dyDescent="0.35">
      <c r="B53" s="49"/>
      <c r="C53" s="49"/>
      <c r="D53" s="49"/>
      <c r="E53" s="50" t="str">
        <f>IF(ProductList[[#This Row],[Product Cost 1K]]&lt;&gt;"", $D$2*ProductList[[#This Row],[Product Cost 1K]]/100 + ProductList[[#This Row],[Product Cost 1K]],"")</f>
        <v/>
      </c>
      <c r="F53" s="50" t="str">
        <f>IF(ProductList[[#This Row],[Product Cost 5K]]&lt;&gt;"", $D$2*ProductList[[#This Row],[Product Cost 5K]]/100 + ProductList[[#This Row],[Product Cost 5K]],"")</f>
        <v/>
      </c>
      <c r="G53" s="50" t="str">
        <f>IF(ProductList[[#This Row],[Product Cost 10K]]&lt;&gt;"", $D$2*ProductList[[#This Row],[Product Cost 10K]]/100 + ProductList[[#This Row],[Product Cost 10K]],"")</f>
        <v/>
      </c>
      <c r="H53" s="50" t="str">
        <f>IF(ProductList[[#This Row],[Product Cost 100K]]&lt;&gt;"", $D$2*ProductList[[#This Row],[Product Cost 100K]]/100 + ProductList[[#This Row],[Product Cost 100K]],"")</f>
        <v/>
      </c>
      <c r="I53" s="50"/>
      <c r="J53" s="50"/>
      <c r="K53" s="50"/>
      <c r="L53" s="50"/>
      <c r="M53" s="52"/>
      <c r="N53" s="49"/>
      <c r="O53" s="49"/>
      <c r="P53" s="49"/>
      <c r="Q53" s="55"/>
      <c r="R53" s="55"/>
      <c r="S53" s="55"/>
      <c r="T53"/>
    </row>
    <row r="54" spans="2:20" x14ac:dyDescent="0.35">
      <c r="B54" s="49"/>
      <c r="C54" s="49"/>
      <c r="D54" s="49"/>
      <c r="E54" s="50" t="str">
        <f>IF(ProductList[[#This Row],[Product Cost 1K]]&lt;&gt;"", $D$2*ProductList[[#This Row],[Product Cost 1K]]/100 + ProductList[[#This Row],[Product Cost 1K]],"")</f>
        <v/>
      </c>
      <c r="F54" s="50" t="str">
        <f>IF(ProductList[[#This Row],[Product Cost 5K]]&lt;&gt;"", $D$2*ProductList[[#This Row],[Product Cost 5K]]/100 + ProductList[[#This Row],[Product Cost 5K]],"")</f>
        <v/>
      </c>
      <c r="G54" s="50" t="str">
        <f>IF(ProductList[[#This Row],[Product Cost 10K]]&lt;&gt;"", $D$2*ProductList[[#This Row],[Product Cost 10K]]/100 + ProductList[[#This Row],[Product Cost 10K]],"")</f>
        <v/>
      </c>
      <c r="H54" s="50" t="str">
        <f>IF(ProductList[[#This Row],[Product Cost 100K]]&lt;&gt;"", $D$2*ProductList[[#This Row],[Product Cost 100K]]/100 + ProductList[[#This Row],[Product Cost 100K]],"")</f>
        <v/>
      </c>
      <c r="I54" s="50"/>
      <c r="J54" s="50"/>
      <c r="K54" s="50"/>
      <c r="L54" s="50"/>
      <c r="M54" s="52"/>
      <c r="N54" s="49"/>
      <c r="O54" s="49"/>
      <c r="P54" s="49"/>
      <c r="Q54" s="55"/>
      <c r="R54" s="55"/>
      <c r="S54" s="55"/>
      <c r="T54"/>
    </row>
    <row r="55" spans="2:20" x14ac:dyDescent="0.35">
      <c r="B55" s="49"/>
      <c r="C55" s="49"/>
      <c r="D55" s="49"/>
      <c r="E55" s="50" t="str">
        <f>IF(ProductList[[#This Row],[Product Cost 1K]]&lt;&gt;"", $D$2*ProductList[[#This Row],[Product Cost 1K]]/100 + ProductList[[#This Row],[Product Cost 1K]],"")</f>
        <v/>
      </c>
      <c r="F55" s="50" t="str">
        <f>IF(ProductList[[#This Row],[Product Cost 5K]]&lt;&gt;"", $D$2*ProductList[[#This Row],[Product Cost 5K]]/100 + ProductList[[#This Row],[Product Cost 5K]],"")</f>
        <v/>
      </c>
      <c r="G55" s="50" t="str">
        <f>IF(ProductList[[#This Row],[Product Cost 10K]]&lt;&gt;"", $D$2*ProductList[[#This Row],[Product Cost 10K]]/100 + ProductList[[#This Row],[Product Cost 10K]],"")</f>
        <v/>
      </c>
      <c r="H55" s="50" t="str">
        <f>IF(ProductList[[#This Row],[Product Cost 100K]]&lt;&gt;"", $D$2*ProductList[[#This Row],[Product Cost 100K]]/100 + ProductList[[#This Row],[Product Cost 100K]],"")</f>
        <v/>
      </c>
      <c r="I55" s="50"/>
      <c r="J55" s="50"/>
      <c r="K55" s="50"/>
      <c r="L55" s="50"/>
      <c r="M55" s="52"/>
      <c r="N55" s="49"/>
      <c r="O55" s="49"/>
      <c r="P55" s="49"/>
      <c r="Q55" s="55"/>
      <c r="R55" s="55"/>
      <c r="S55" s="55"/>
      <c r="T55"/>
    </row>
    <row r="56" spans="2:20" x14ac:dyDescent="0.35">
      <c r="B56" s="49"/>
      <c r="C56" s="49"/>
      <c r="D56" s="49"/>
      <c r="E56" s="50" t="str">
        <f>IF(ProductList[[#This Row],[Product Cost 1K]]&lt;&gt;"", $D$2*ProductList[[#This Row],[Product Cost 1K]]/100 + ProductList[[#This Row],[Product Cost 1K]],"")</f>
        <v/>
      </c>
      <c r="F56" s="50" t="str">
        <f>IF(ProductList[[#This Row],[Product Cost 5K]]&lt;&gt;"", $D$2*ProductList[[#This Row],[Product Cost 5K]]/100 + ProductList[[#This Row],[Product Cost 5K]],"")</f>
        <v/>
      </c>
      <c r="G56" s="50" t="str">
        <f>IF(ProductList[[#This Row],[Product Cost 10K]]&lt;&gt;"", $D$2*ProductList[[#This Row],[Product Cost 10K]]/100 + ProductList[[#This Row],[Product Cost 10K]],"")</f>
        <v/>
      </c>
      <c r="H56" s="50" t="str">
        <f>IF(ProductList[[#This Row],[Product Cost 100K]]&lt;&gt;"", $D$2*ProductList[[#This Row],[Product Cost 100K]]/100 + ProductList[[#This Row],[Product Cost 100K]],"")</f>
        <v/>
      </c>
      <c r="I56" s="50"/>
      <c r="J56" s="50"/>
      <c r="K56" s="50"/>
      <c r="L56" s="50"/>
      <c r="M56" s="52"/>
      <c r="N56" s="49"/>
      <c r="O56" s="49"/>
      <c r="P56" s="49"/>
      <c r="Q56" s="55"/>
      <c r="R56" s="55"/>
      <c r="S56" s="55"/>
      <c r="T56"/>
    </row>
  </sheetData>
  <mergeCells count="1">
    <mergeCell ref="B2:C2"/>
  </mergeCells>
  <phoneticPr fontId="1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9FBCC-3BB5-47C3-89F6-0B756B93F519}">
  <sheetPr codeName="Sheet4"/>
  <dimension ref="A1:I26"/>
  <sheetViews>
    <sheetView workbookViewId="0">
      <selection activeCell="E21" sqref="E21"/>
    </sheetView>
  </sheetViews>
  <sheetFormatPr defaultRowHeight="14.5" x14ac:dyDescent="0.35"/>
  <cols>
    <col min="1" max="1" width="17.453125" customWidth="1"/>
    <col min="2" max="2" width="27.6328125" customWidth="1"/>
    <col min="3" max="3" width="24.1796875" customWidth="1"/>
    <col min="4" max="4" width="26.7265625" customWidth="1"/>
    <col min="5" max="5" width="23.6328125" customWidth="1"/>
    <col min="6" max="6" width="19.81640625" customWidth="1"/>
    <col min="7" max="7" width="115.90625" customWidth="1"/>
    <col min="8" max="8" width="39.81640625" customWidth="1"/>
    <col min="9" max="9" width="30.90625" customWidth="1"/>
    <col min="10" max="10" width="25.81640625" customWidth="1"/>
    <col min="11" max="11" width="14.7265625" customWidth="1"/>
  </cols>
  <sheetData>
    <row r="1" spans="1:9" x14ac:dyDescent="0.35">
      <c r="A1" s="32" t="s">
        <v>64</v>
      </c>
      <c r="B1" s="33" t="s">
        <v>65</v>
      </c>
      <c r="C1" s="33" t="s">
        <v>72</v>
      </c>
      <c r="D1" s="33" t="s">
        <v>66</v>
      </c>
      <c r="E1" s="33" t="s">
        <v>67</v>
      </c>
      <c r="F1" s="33" t="s">
        <v>68</v>
      </c>
      <c r="G1" s="33" t="s">
        <v>69</v>
      </c>
      <c r="H1" s="33" t="s">
        <v>70</v>
      </c>
      <c r="I1" s="34" t="s">
        <v>71</v>
      </c>
    </row>
    <row r="2" spans="1:9" x14ac:dyDescent="0.35">
      <c r="C2" s="30"/>
      <c r="D2" s="31"/>
      <c r="E2" s="31"/>
      <c r="G2" s="38"/>
    </row>
    <row r="3" spans="1:9" x14ac:dyDescent="0.35">
      <c r="C3" s="30"/>
      <c r="D3" s="31"/>
      <c r="E3" s="31"/>
      <c r="G3" s="38"/>
    </row>
    <row r="4" spans="1:9" x14ac:dyDescent="0.35">
      <c r="C4" s="30"/>
      <c r="D4" s="31"/>
      <c r="E4" s="31"/>
      <c r="G4" s="38"/>
    </row>
    <row r="5" spans="1:9" x14ac:dyDescent="0.35">
      <c r="C5" s="30"/>
      <c r="D5" s="31"/>
      <c r="E5" s="31"/>
      <c r="G5" s="38"/>
    </row>
    <row r="6" spans="1:9" x14ac:dyDescent="0.35">
      <c r="C6" s="30"/>
      <c r="D6" s="31"/>
      <c r="E6" s="31"/>
      <c r="G6" s="38"/>
    </row>
    <row r="7" spans="1:9" x14ac:dyDescent="0.35">
      <c r="C7" s="30"/>
      <c r="D7" s="31"/>
      <c r="E7" s="31"/>
      <c r="G7" s="38"/>
    </row>
    <row r="8" spans="1:9" x14ac:dyDescent="0.35">
      <c r="C8" s="30"/>
      <c r="D8" s="31"/>
      <c r="E8" s="31"/>
      <c r="G8" s="38"/>
    </row>
    <row r="9" spans="1:9" x14ac:dyDescent="0.35">
      <c r="C9" s="30"/>
      <c r="D9" s="31"/>
      <c r="E9" s="31"/>
      <c r="F9" s="38"/>
      <c r="G9" s="38"/>
    </row>
    <row r="10" spans="1:9" x14ac:dyDescent="0.35">
      <c r="C10" s="30"/>
      <c r="D10" s="31"/>
      <c r="E10" s="31"/>
      <c r="F10" s="38"/>
      <c r="G10" s="38"/>
    </row>
    <row r="11" spans="1:9" x14ac:dyDescent="0.35">
      <c r="C11" s="30"/>
      <c r="D11" s="31"/>
      <c r="E11" s="31"/>
      <c r="G11" s="38"/>
    </row>
    <row r="12" spans="1:9" x14ac:dyDescent="0.35">
      <c r="C12" s="30"/>
      <c r="D12" s="31"/>
      <c r="E12" s="31"/>
      <c r="F12" s="38"/>
      <c r="G12" s="38"/>
    </row>
    <row r="13" spans="1:9" x14ac:dyDescent="0.35">
      <c r="C13" s="30"/>
      <c r="D13" s="31"/>
      <c r="E13" s="31"/>
      <c r="F13" s="38"/>
      <c r="G13" s="38"/>
    </row>
    <row r="14" spans="1:9" x14ac:dyDescent="0.35">
      <c r="C14" s="30"/>
      <c r="D14" s="31"/>
      <c r="E14" s="31"/>
      <c r="F14" s="38"/>
    </row>
    <row r="15" spans="1:9" x14ac:dyDescent="0.35">
      <c r="C15" s="30"/>
      <c r="D15" s="31"/>
      <c r="E15" s="31"/>
    </row>
    <row r="16" spans="1:9" x14ac:dyDescent="0.35">
      <c r="C16" s="30"/>
      <c r="D16" s="31"/>
      <c r="E16" s="31"/>
    </row>
    <row r="17" spans="3:6" x14ac:dyDescent="0.35">
      <c r="C17" s="30"/>
      <c r="D17" s="31"/>
      <c r="E17" s="31"/>
    </row>
    <row r="18" spans="3:6" x14ac:dyDescent="0.35">
      <c r="C18" s="30"/>
      <c r="D18" s="31"/>
      <c r="E18" s="31"/>
    </row>
    <row r="19" spans="3:6" x14ac:dyDescent="0.35">
      <c r="C19" s="30"/>
      <c r="D19" s="31"/>
      <c r="E19" s="31"/>
    </row>
    <row r="20" spans="3:6" x14ac:dyDescent="0.35">
      <c r="C20" s="30"/>
      <c r="D20" s="31"/>
      <c r="E20" s="31"/>
    </row>
    <row r="21" spans="3:6" x14ac:dyDescent="0.35">
      <c r="C21" s="30"/>
      <c r="D21" s="31"/>
      <c r="E21" s="31"/>
    </row>
    <row r="22" spans="3:6" x14ac:dyDescent="0.35">
      <c r="C22" s="30"/>
      <c r="D22" s="31"/>
      <c r="E22" s="31"/>
    </row>
    <row r="23" spans="3:6" x14ac:dyDescent="0.35">
      <c r="C23" s="30"/>
      <c r="D23" s="31"/>
      <c r="E23" s="31"/>
      <c r="F23" s="38"/>
    </row>
    <row r="24" spans="3:6" x14ac:dyDescent="0.35">
      <c r="C24" s="30"/>
      <c r="D24" s="31"/>
      <c r="E24" s="31"/>
    </row>
    <row r="25" spans="3:6" x14ac:dyDescent="0.35">
      <c r="C25" s="30"/>
      <c r="D25" s="31"/>
      <c r="E25" s="31"/>
      <c r="F25" s="38"/>
    </row>
    <row r="26" spans="3:6" x14ac:dyDescent="0.35">
      <c r="C26" s="30"/>
      <c r="D26" s="31"/>
      <c r="E26" s="31"/>
    </row>
  </sheetData>
  <conditionalFormatting sqref="A2:F10000">
    <cfRule type="expression" dxfId="0" priority="1">
      <formula>AND($A2&lt;&gt;"", $E2&lt;TODAY(), $F2 &lt;&gt;"Yes")</formula>
    </cfRule>
  </conditionalFormatting>
  <dataValidations count="1">
    <dataValidation type="list" allowBlank="1" showInputMessage="1" showErrorMessage="1" sqref="F2:F10000" xr:uid="{0AA9D8FE-FE68-4068-BF31-68B764D51735}">
      <formula1>"Yes"</formula1>
    </dataValidation>
  </dataValidations>
  <hyperlinks>
    <hyperlink ref="G1" r:id="rId1" display="Invoices/InvoicesPdf/2040801_TeronTechnologies_505001-EminMarket.pdf" xr:uid="{43532659-C491-47D3-AE47-442710ED6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Quotation</vt:lpstr>
      <vt:lpstr>Customers</vt:lpstr>
      <vt:lpstr>Products</vt:lpstr>
      <vt:lpstr>Record Of Invoices</vt:lpstr>
      <vt:lpstr>CustomersDropDown</vt:lpstr>
      <vt:lpstr>Quotation!Print_Area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IŞIK</dc:creator>
  <cp:lastModifiedBy>Hamza IŞIK</cp:lastModifiedBy>
  <cp:lastPrinted>2025-12-23T18:12:59Z</cp:lastPrinted>
  <dcterms:created xsi:type="dcterms:W3CDTF">2015-06-05T18:17:20Z</dcterms:created>
  <dcterms:modified xsi:type="dcterms:W3CDTF">2025-12-25T10:39:35Z</dcterms:modified>
</cp:coreProperties>
</file>