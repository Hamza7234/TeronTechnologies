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mza\Desktop\TeronTechnologies\Quotes\"/>
    </mc:Choice>
  </mc:AlternateContent>
  <xr:revisionPtr revIDLastSave="0" documentId="13_ncr:1_{FDDAD6C3-7FC4-44A3-89E7-F851F672C16C}" xr6:coauthVersionLast="47" xr6:coauthVersionMax="47" xr10:uidLastSave="{00000000-0000-0000-0000-000000000000}"/>
  <bookViews>
    <workbookView xWindow="-28920" yWindow="19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39" i="1"/>
  <c r="F22" i="1"/>
  <c r="F21" i="1"/>
  <c r="F35" i="1" s="1"/>
  <c r="F40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<sst xmlns="http://schemas.openxmlformats.org/spreadsheetml/2006/main" count="41" uniqueCount="40">
  <si>
    <t>DESCRIPTION</t>
  </si>
  <si>
    <t>QTY</t>
  </si>
  <si>
    <t>ITEM NAME</t>
  </si>
  <si>
    <t>DISCOUNT</t>
  </si>
  <si>
    <t>Teron Technologies</t>
  </si>
  <si>
    <t>info@terontechnologies.com</t>
  </si>
  <si>
    <t xml:space="preserve"> </t>
  </si>
  <si>
    <t>(+31) 627305821</t>
  </si>
  <si>
    <t>14 days</t>
  </si>
  <si>
    <t xml:space="preserve">Wielewaalstraat 4, 6135EN </t>
  </si>
  <si>
    <t>Emin Market</t>
  </si>
  <si>
    <t>(+32) XXX-XXX-XXX</t>
  </si>
  <si>
    <t>info@eminmarket.be</t>
  </si>
  <si>
    <t>Customer</t>
  </si>
  <si>
    <t>www.terontechnologies.com</t>
  </si>
  <si>
    <t>Phone</t>
  </si>
  <si>
    <t>E-mail</t>
  </si>
  <si>
    <t>Company/Name</t>
  </si>
  <si>
    <t>Address</t>
  </si>
  <si>
    <t>VAT</t>
  </si>
  <si>
    <t>Dennenstraat 10,  3581 
Beringen  Belgium</t>
  </si>
  <si>
    <t>SID-ESL-213BWR</t>
  </si>
  <si>
    <t>SID-ESL-62A</t>
  </si>
  <si>
    <t>VAT 0% – Intra-Community supply. Reverse charge (Article 138 EU VAT Directive) applies to items and customer is responsible of paying VAT to local TAX authorities.</t>
  </si>
  <si>
    <t>Electronic Shelf Label (ESL) Controller, Base Station</t>
  </si>
  <si>
    <t xml:space="preserve">2.13 inch ESL digital price tag
Viewing angle: 180,   Battery: CR2450 * 2
Operation Temperature: 0-40 ℃
Size: 70 x 35 mm </t>
  </si>
  <si>
    <t>(Reverse charge applies to items)</t>
  </si>
  <si>
    <t>VAT RATE</t>
  </si>
  <si>
    <r>
      <t xml:space="preserve">Customer ID </t>
    </r>
    <r>
      <rPr>
        <b/>
        <sz val="12"/>
        <color theme="1"/>
        <rFont val="Microsoft GothicNeo"/>
        <family val="2"/>
        <charset val="129"/>
      </rPr>
      <t>:</t>
    </r>
  </si>
  <si>
    <t>Sittard-Geleen, Netherlands</t>
  </si>
  <si>
    <r>
      <t xml:space="preserve">IBAN    :  </t>
    </r>
    <r>
      <rPr>
        <b/>
        <sz val="12"/>
        <color theme="1"/>
        <rFont val="Microsoft GothicNeo"/>
        <family val="2"/>
        <charset val="129"/>
      </rPr>
      <t>NL53 INGB 0709 4564 84</t>
    </r>
  </si>
  <si>
    <r>
      <t xml:space="preserve">VAT     :  </t>
    </r>
    <r>
      <rPr>
        <b/>
        <sz val="12"/>
        <color theme="1"/>
        <rFont val="Microsoft GothicNeo"/>
        <family val="2"/>
        <charset val="129"/>
      </rPr>
      <t>NL005303268B93</t>
    </r>
  </si>
  <si>
    <r>
      <t>Date</t>
    </r>
    <r>
      <rPr>
        <b/>
        <sz val="12"/>
        <color theme="1"/>
        <rFont val="Microsoft GothicNeo"/>
        <family val="2"/>
        <charset val="129"/>
      </rPr>
      <t xml:space="preserve">             :</t>
    </r>
  </si>
  <si>
    <r>
      <t>Quote</t>
    </r>
    <r>
      <rPr>
        <b/>
        <sz val="12"/>
        <color theme="1"/>
        <rFont val="Microsoft GothicNeo"/>
        <family val="2"/>
        <charset val="129"/>
      </rPr>
      <t xml:space="preserve">           :</t>
    </r>
  </si>
  <si>
    <r>
      <t xml:space="preserve">Valid for      </t>
    </r>
    <r>
      <rPr>
        <b/>
        <sz val="12"/>
        <color theme="1"/>
        <rFont val="Microsoft GothicNeo"/>
        <family val="2"/>
        <charset val="129"/>
      </rPr>
      <t xml:space="preserve">  :</t>
    </r>
  </si>
  <si>
    <t>TOTAL ( EUR )</t>
  </si>
  <si>
    <r>
      <rPr>
        <b/>
        <sz val="14"/>
        <color theme="1"/>
        <rFont val="Microsoft GothicNeo"/>
        <family val="2"/>
        <charset val="129"/>
      </rPr>
      <t>Terms &amp; Conditions</t>
    </r>
    <r>
      <rPr>
        <b/>
        <sz val="12"/>
        <color theme="1"/>
        <rFont val="Microsoft GothicNeo"/>
        <family val="2"/>
        <charset val="129"/>
      </rPr>
      <t xml:space="preserve">
</t>
    </r>
    <r>
      <rPr>
        <sz val="12"/>
        <color theme="1"/>
        <rFont val="Microsoft GothicNeo"/>
        <family val="2"/>
        <charset val="129"/>
      </rPr>
      <t xml:space="preserve">1. Currency:  EUR
2. Payment  Terms: To be defined with customer
3. 12 months(1 year) quality warranty of base station and ESL tags excludes batteries
4. Estimated  Lead Time: In stock or within 45 workdays based on quantity
5. ESL installation is not covered in the price
6. VAT 0% – Intra-Community supply. Reverse charge (Article 138 EU VAT Directive)
</t>
    </r>
    <r>
      <rPr>
        <b/>
        <sz val="12"/>
        <color theme="1"/>
        <rFont val="Microsoft GothicNeo"/>
        <family val="2"/>
        <charset val="129"/>
      </rPr>
      <t xml:space="preserve">
</t>
    </r>
  </si>
  <si>
    <t>SUBTOTAL ( EUR )</t>
  </si>
  <si>
    <t>UNIT PRICE (EUR)</t>
  </si>
  <si>
    <t>AMOUNT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</si>
</sst>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Microsoft GothicNeo"/>
      <family val="2"/>
      <charset val="129"/>
    </font>
    <font>
      <b/>
      <sz val="14"/>
      <color theme="1"/>
      <name val="Microsoft GothicNeo"/>
      <family val="2"/>
      <charset val="129"/>
    </font>
    <font>
      <sz val="12"/>
      <color theme="1"/>
      <name val="Microsoft GothicNeo"/>
      <family val="2"/>
      <charset val="129"/>
    </font>
    <font>
      <b/>
      <sz val="12"/>
      <color theme="1"/>
      <name val="Microsoft GothicNeo"/>
      <family val="2"/>
      <charset val="129"/>
    </font>
    <font>
      <b/>
      <sz val="11"/>
      <color theme="1"/>
      <name val="Microsoft GothicNeo"/>
      <family val="2"/>
      <charset val="129"/>
    </font>
    <font>
      <b/>
      <sz val="11"/>
      <color theme="0"/>
      <name val="Microsoft GothicNeo"/>
      <family val="2"/>
      <charset val="129"/>
    </font>
    <font>
      <b/>
      <sz val="12"/>
      <color rgb="FFFF0000"/>
      <name val="Microsoft GothicNeo"/>
      <family val="2"/>
      <charset val="129"/>
    </font>
    <font>
      <b/>
      <sz val="12"/>
      <color theme="0"/>
      <name val="Microsoft GothicNeo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0" borderId="0" xfId="0" applyFont="1" applyAlignment="1">
      <alignment vertical="top"/>
    </xf>
    <xf numFmtId="0" fontId="5" fillId="3" borderId="1" xfId="0" applyFont="1" applyFill="1" applyBorder="1" applyAlignment="1">
      <alignment horizontal="right" vertical="center"/>
    </xf>
    <xf numFmtId="9" fontId="5" fillId="4" borderId="1" xfId="0" applyNumberFormat="1" applyFont="1" applyFill="1" applyBorder="1" applyAlignment="1">
      <alignment horizontal="right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3" borderId="6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2" fillId="5" borderId="5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3"/>
  <sheetViews>
    <sheetView tabSelected="1" topLeftCell="A18" zoomScale="85" zoomScaleNormal="85" workbookViewId="0">
      <selection activeCell="L27" sqref="L27"/>
    </sheetView>
  </sheetViews>
  <sheetFormatPr defaultRowHeight="16" customHeight="1" x14ac:dyDescent="0.35"/>
  <cols>
    <col min="1" max="1" width="3.54296875" style="1" customWidth="1"/>
    <col min="2" max="2" width="20.81640625" style="4" customWidth="1"/>
    <col min="3" max="3" width="66.1796875" style="1" customWidth="1"/>
    <col min="4" max="4" width="7.1796875" style="2" customWidth="1"/>
    <col min="5" max="5" width="18.90625" style="2" customWidth="1"/>
    <col min="6" max="6" width="17.453125" style="2" customWidth="1"/>
    <col min="7" max="7" width="4.6328125" style="1" customWidth="1"/>
    <col min="8" max="16384" width="8.7265625" style="1"/>
  </cols>
  <sheetData>
    <row r="2" spans="1:7" ht="16" customHeight="1" x14ac:dyDescent="0.35">
      <c r="D2" s="43" t="e" vm="1">
        <v>#VALUE!</v>
      </c>
      <c r="E2" s="43"/>
      <c r="F2" s="43"/>
      <c r="G2" s="2"/>
    </row>
    <row r="3" spans="1:7" ht="16" customHeight="1" x14ac:dyDescent="0.35">
      <c r="D3" s="43"/>
      <c r="E3" s="43"/>
      <c r="F3" s="43"/>
      <c r="G3" s="2"/>
    </row>
    <row r="4" spans="1:7" ht="14" customHeight="1" x14ac:dyDescent="0.3">
      <c r="B4" s="45" t="s">
        <v>4</v>
      </c>
      <c r="C4" s="45"/>
      <c r="D4" s="43"/>
      <c r="E4" s="43"/>
      <c r="F4" s="43"/>
    </row>
    <row r="5" spans="1:7" ht="7.5" customHeight="1" x14ac:dyDescent="0.3">
      <c r="B5" s="45"/>
      <c r="C5" s="45"/>
      <c r="D5" s="43"/>
      <c r="E5" s="43"/>
      <c r="F5" s="43"/>
    </row>
    <row r="6" spans="1:7" ht="18" customHeight="1" x14ac:dyDescent="0.35">
      <c r="B6" s="44" t="s">
        <v>9</v>
      </c>
      <c r="C6" s="44"/>
      <c r="D6" s="14"/>
      <c r="E6" s="14"/>
      <c r="F6" s="14"/>
    </row>
    <row r="7" spans="1:7" ht="18" customHeight="1" x14ac:dyDescent="0.35">
      <c r="B7" s="44" t="s">
        <v>29</v>
      </c>
      <c r="C7" s="44"/>
      <c r="D7" s="47" t="s">
        <v>14</v>
      </c>
      <c r="E7" s="47"/>
      <c r="F7" s="47"/>
    </row>
    <row r="8" spans="1:7" ht="18" customHeight="1" x14ac:dyDescent="0.35">
      <c r="A8" s="1" t="s">
        <v>6</v>
      </c>
      <c r="B8" s="4" t="s">
        <v>7</v>
      </c>
      <c r="C8" s="4"/>
      <c r="D8" s="44" t="s">
        <v>30</v>
      </c>
      <c r="E8" s="44"/>
      <c r="F8" s="44"/>
    </row>
    <row r="9" spans="1:7" ht="18" customHeight="1" x14ac:dyDescent="0.35">
      <c r="B9" s="3" t="s">
        <v>5</v>
      </c>
      <c r="C9" s="3"/>
      <c r="D9" s="44" t="s">
        <v>31</v>
      </c>
      <c r="E9" s="44"/>
      <c r="F9" s="44"/>
    </row>
    <row r="10" spans="1:7" ht="18" customHeight="1" x14ac:dyDescent="0.3">
      <c r="B10" s="55"/>
      <c r="C10" s="55"/>
      <c r="E10" s="1"/>
      <c r="F10" s="1"/>
    </row>
    <row r="11" spans="1:7" ht="18" customHeight="1" x14ac:dyDescent="0.35">
      <c r="B11" s="3"/>
      <c r="C11" s="5"/>
      <c r="E11" s="1"/>
      <c r="F11" s="1"/>
    </row>
    <row r="12" spans="1:7" ht="18" customHeight="1" x14ac:dyDescent="0.35">
      <c r="B12" s="47" t="s">
        <v>13</v>
      </c>
      <c r="C12" s="47"/>
      <c r="E12" s="1"/>
      <c r="F12" s="1"/>
    </row>
    <row r="13" spans="1:7" ht="18" customHeight="1" x14ac:dyDescent="0.35">
      <c r="B13" s="4" t="s">
        <v>17</v>
      </c>
      <c r="C13" s="4" t="s">
        <v>10</v>
      </c>
      <c r="E13" s="1"/>
      <c r="F13" s="1"/>
    </row>
    <row r="14" spans="1:7" s="6" customFormat="1" ht="18" customHeight="1" x14ac:dyDescent="0.35">
      <c r="B14" s="53" t="s">
        <v>18</v>
      </c>
      <c r="C14" s="54" t="s">
        <v>20</v>
      </c>
      <c r="E14" s="19"/>
      <c r="F14" s="19"/>
    </row>
    <row r="15" spans="1:7" ht="18" customHeight="1" x14ac:dyDescent="0.35">
      <c r="B15" s="53"/>
      <c r="C15" s="54"/>
      <c r="E15" s="3" t="s">
        <v>32</v>
      </c>
      <c r="F15" s="29">
        <f>DATE(2025, 9,26)</f>
        <v>45926</v>
      </c>
    </row>
    <row r="16" spans="1:7" ht="18" customHeight="1" x14ac:dyDescent="0.35">
      <c r="B16" s="4" t="s">
        <v>15</v>
      </c>
      <c r="C16" s="4" t="s">
        <v>11</v>
      </c>
      <c r="E16" s="3" t="s">
        <v>33</v>
      </c>
      <c r="F16" s="7">
        <v>2025092624</v>
      </c>
    </row>
    <row r="17" spans="2:6" ht="18" customHeight="1" x14ac:dyDescent="0.35">
      <c r="B17" s="4" t="s">
        <v>16</v>
      </c>
      <c r="C17" s="4" t="s">
        <v>12</v>
      </c>
      <c r="E17" s="3" t="s">
        <v>28</v>
      </c>
      <c r="F17" s="7">
        <v>1</v>
      </c>
    </row>
    <row r="18" spans="2:6" ht="18" customHeight="1" x14ac:dyDescent="0.35">
      <c r="B18" s="4" t="s">
        <v>19</v>
      </c>
      <c r="C18" s="4"/>
      <c r="E18" s="3" t="s">
        <v>34</v>
      </c>
      <c r="F18" s="8" t="s">
        <v>8</v>
      </c>
    </row>
    <row r="19" spans="2:6" ht="18" customHeight="1" x14ac:dyDescent="0.35"/>
    <row r="20" spans="2:6" ht="20" customHeight="1" x14ac:dyDescent="0.3">
      <c r="B20" s="27" t="s">
        <v>2</v>
      </c>
      <c r="C20" s="25" t="s">
        <v>0</v>
      </c>
      <c r="D20" s="25" t="s">
        <v>1</v>
      </c>
      <c r="E20" s="25" t="s">
        <v>38</v>
      </c>
      <c r="F20" s="26" t="s">
        <v>39</v>
      </c>
    </row>
    <row r="21" spans="2:6" ht="73.5" customHeight="1" x14ac:dyDescent="0.3">
      <c r="B21" s="35" t="s">
        <v>21</v>
      </c>
      <c r="C21" s="41" t="s">
        <v>25</v>
      </c>
      <c r="D21" s="9">
        <v>1000</v>
      </c>
      <c r="E21" s="9">
        <v>4.4400000000000004</v>
      </c>
      <c r="F21" s="30">
        <f>D21*E21</f>
        <v>4440</v>
      </c>
    </row>
    <row r="22" spans="2:6" ht="20" customHeight="1" x14ac:dyDescent="0.3">
      <c r="B22" s="36" t="s">
        <v>22</v>
      </c>
      <c r="C22" s="42" t="s">
        <v>24</v>
      </c>
      <c r="D22" s="10">
        <v>1</v>
      </c>
      <c r="E22" s="31">
        <v>150</v>
      </c>
      <c r="F22" s="31">
        <f t="shared" ref="F22" si="0">D22*E22</f>
        <v>150</v>
      </c>
    </row>
    <row r="23" spans="2:6" ht="20" customHeight="1" x14ac:dyDescent="0.3">
      <c r="B23" s="35"/>
      <c r="C23" s="38"/>
      <c r="D23" s="11"/>
      <c r="E23" s="32"/>
      <c r="F23" s="32"/>
    </row>
    <row r="24" spans="2:6" ht="20" customHeight="1" x14ac:dyDescent="0.3">
      <c r="B24" s="36"/>
      <c r="C24" s="37"/>
      <c r="D24" s="12"/>
      <c r="E24" s="33"/>
      <c r="F24" s="33"/>
    </row>
    <row r="25" spans="2:6" ht="20" customHeight="1" x14ac:dyDescent="0.3">
      <c r="B25" s="35"/>
      <c r="C25" s="38"/>
      <c r="D25" s="11"/>
      <c r="E25" s="32"/>
      <c r="F25" s="32"/>
    </row>
    <row r="26" spans="2:6" ht="20" customHeight="1" x14ac:dyDescent="0.3">
      <c r="B26" s="36"/>
      <c r="C26" s="37"/>
      <c r="D26" s="12"/>
      <c r="E26" s="33"/>
      <c r="F26" s="33"/>
    </row>
    <row r="27" spans="2:6" ht="20" customHeight="1" x14ac:dyDescent="0.3">
      <c r="B27" s="35"/>
      <c r="C27" s="38"/>
      <c r="D27" s="11"/>
      <c r="E27" s="32"/>
      <c r="F27" s="32"/>
    </row>
    <row r="28" spans="2:6" ht="20" customHeight="1" x14ac:dyDescent="0.3">
      <c r="B28" s="36"/>
      <c r="C28" s="37"/>
      <c r="D28" s="12"/>
      <c r="E28" s="33"/>
      <c r="F28" s="33"/>
    </row>
    <row r="29" spans="2:6" ht="20" customHeight="1" x14ac:dyDescent="0.3">
      <c r="B29" s="35"/>
      <c r="C29" s="38"/>
      <c r="D29" s="11"/>
      <c r="E29" s="32"/>
      <c r="F29" s="32"/>
    </row>
    <row r="30" spans="2:6" ht="20" customHeight="1" x14ac:dyDescent="0.3">
      <c r="B30" s="36"/>
      <c r="C30" s="37"/>
      <c r="D30" s="12"/>
      <c r="E30" s="33"/>
      <c r="F30" s="33"/>
    </row>
    <row r="31" spans="2:6" ht="20" customHeight="1" x14ac:dyDescent="0.3">
      <c r="B31" s="35"/>
      <c r="C31" s="38"/>
      <c r="D31" s="11"/>
      <c r="E31" s="32"/>
      <c r="F31" s="32"/>
    </row>
    <row r="32" spans="2:6" ht="20" customHeight="1" x14ac:dyDescent="0.3">
      <c r="B32" s="36"/>
      <c r="C32" s="37"/>
      <c r="D32" s="12"/>
      <c r="E32" s="33"/>
      <c r="F32" s="33"/>
    </row>
    <row r="33" spans="2:6" ht="20" customHeight="1" x14ac:dyDescent="0.3">
      <c r="B33" s="35"/>
      <c r="C33" s="38"/>
      <c r="D33" s="11"/>
      <c r="E33" s="32"/>
      <c r="F33" s="32"/>
    </row>
    <row r="34" spans="2:6" ht="20" customHeight="1" x14ac:dyDescent="0.3">
      <c r="B34" s="40"/>
      <c r="C34" s="39"/>
      <c r="D34" s="13"/>
      <c r="E34" s="34"/>
      <c r="F34" s="34"/>
    </row>
    <row r="35" spans="2:6" ht="20" customHeight="1" x14ac:dyDescent="0.3">
      <c r="B35" s="48" t="s">
        <v>36</v>
      </c>
      <c r="C35" s="48"/>
      <c r="D35" s="48"/>
      <c r="E35" s="22" t="s">
        <v>37</v>
      </c>
      <c r="F35" s="24">
        <f xml:space="preserve"> SUM(F21:F34)</f>
        <v>4590</v>
      </c>
    </row>
    <row r="36" spans="2:6" ht="20" customHeight="1" x14ac:dyDescent="0.3">
      <c r="B36" s="48"/>
      <c r="C36" s="48"/>
      <c r="D36" s="48"/>
      <c r="E36" s="20" t="s">
        <v>3</v>
      </c>
      <c r="F36" s="15"/>
    </row>
    <row r="37" spans="2:6" ht="23" customHeight="1" x14ac:dyDescent="0.3">
      <c r="B37" s="48"/>
      <c r="C37" s="48"/>
      <c r="D37" s="48"/>
      <c r="E37" s="21" t="s">
        <v>27</v>
      </c>
      <c r="F37" s="16">
        <v>0</v>
      </c>
    </row>
    <row r="38" spans="2:6" ht="46.5" customHeight="1" x14ac:dyDescent="0.3">
      <c r="B38" s="48"/>
      <c r="C38" s="48"/>
      <c r="D38" s="48"/>
      <c r="E38" s="22"/>
      <c r="F38" s="17" t="s">
        <v>26</v>
      </c>
    </row>
    <row r="39" spans="2:6" ht="27" customHeight="1" x14ac:dyDescent="0.3">
      <c r="B39" s="48"/>
      <c r="C39" s="48"/>
      <c r="D39" s="48"/>
      <c r="E39" s="23" t="s">
        <v>19</v>
      </c>
      <c r="F39" s="18">
        <f>0</f>
        <v>0</v>
      </c>
    </row>
    <row r="40" spans="2:6" ht="20" customHeight="1" x14ac:dyDescent="0.3">
      <c r="B40" s="48"/>
      <c r="C40" s="48"/>
      <c r="D40" s="48"/>
      <c r="E40" s="49" t="s">
        <v>35</v>
      </c>
      <c r="F40" s="51">
        <f>SUM(F35-F36+F39)</f>
        <v>4590</v>
      </c>
    </row>
    <row r="41" spans="2:6" ht="5" customHeight="1" x14ac:dyDescent="0.3">
      <c r="B41" s="48"/>
      <c r="C41" s="48"/>
      <c r="D41" s="48"/>
      <c r="E41" s="50"/>
      <c r="F41" s="52"/>
    </row>
    <row r="42" spans="2:6" ht="16" customHeight="1" x14ac:dyDescent="0.35">
      <c r="E42" s="28"/>
    </row>
    <row r="43" spans="2:6" ht="63" customHeight="1" x14ac:dyDescent="0.3">
      <c r="B43" s="46" t="s">
        <v>23</v>
      </c>
      <c r="C43" s="46"/>
      <c r="D43" s="46"/>
    </row>
  </sheetData>
  <mergeCells count="15">
    <mergeCell ref="D2:F5"/>
    <mergeCell ref="B6:C6"/>
    <mergeCell ref="D8:F8"/>
    <mergeCell ref="B4:C5"/>
    <mergeCell ref="B43:D43"/>
    <mergeCell ref="D9:F9"/>
    <mergeCell ref="D7:F7"/>
    <mergeCell ref="B35:D41"/>
    <mergeCell ref="E40:E41"/>
    <mergeCell ref="F40:F41"/>
    <mergeCell ref="B7:C7"/>
    <mergeCell ref="B12:C12"/>
    <mergeCell ref="B14:B15"/>
    <mergeCell ref="C14:C15"/>
    <mergeCell ref="B10:C10"/>
  </mergeCells>
  <pageMargins left="0.51181102362204722" right="0.51181102362204722" top="0.55118110236220474" bottom="0.35433070866141736" header="0.31496062992125984" footer="0.31496062992125984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IŞIK</dc:creator>
  <cp:lastModifiedBy>Hamza IŞIK</cp:lastModifiedBy>
  <cp:lastPrinted>2025-09-26T22:06:54Z</cp:lastPrinted>
  <dcterms:created xsi:type="dcterms:W3CDTF">2015-06-05T18:17:20Z</dcterms:created>
  <dcterms:modified xsi:type="dcterms:W3CDTF">2025-09-26T22:07:00Z</dcterms:modified>
</cp:coreProperties>
</file>